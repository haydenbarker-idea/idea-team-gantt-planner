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Dev\gantt-chart-varennes\"/>
    </mc:Choice>
  </mc:AlternateContent>
  <xr:revisionPtr revIDLastSave="0" documentId="13_ncr:1_{8B727170-BACF-49FE-BB90-9866CDD815E5}" xr6:coauthVersionLast="47" xr6:coauthVersionMax="47" xr10:uidLastSave="{00000000-0000-0000-0000-000000000000}"/>
  <bookViews>
    <workbookView xWindow="3120" yWindow="3120" windowWidth="21600" windowHeight="11295" xr2:uid="{00000000-000D-0000-FFFF-FFFF00000000}"/>
  </bookViews>
  <sheets>
    <sheet name="Projects" sheetId="14" r:id="rId1"/>
    <sheet name="Instructions" sheetId="15" r:id="rId2"/>
    <sheet name="Atlantic Packaging" sheetId="11" r:id="rId3"/>
    <sheet name="Template" sheetId="13" state="hidden" r:id="rId4"/>
    <sheet name="About" sheetId="12" state="hidden" r:id="rId5"/>
  </sheets>
  <functionGroups builtInGroupCount="19"/>
  <definedNames>
    <definedName name="_xlnm.Print_Area" localSheetId="2">'Atlantic Packaging'!$1:$42</definedName>
    <definedName name="_xlnm.Print_Area" localSheetId="3">Template!$1:$13</definedName>
    <definedName name="_xlnm.Print_Titles" localSheetId="2">'Atlantic Packaging'!$4:$6</definedName>
    <definedName name="_xlnm.Print_Titles" localSheetId="3">Template!$4:$6</definedName>
    <definedName name="task_end" localSheetId="2">'Atlantic Packaging'!$F1</definedName>
    <definedName name="task_end" localSheetId="3">Template!$F1</definedName>
    <definedName name="task_progress" localSheetId="2">'Atlantic Packaging'!$D1</definedName>
    <definedName name="task_progress" localSheetId="3">Template!$D1</definedName>
    <definedName name="task_start" localSheetId="2">'Atlantic Packaging'!$E1</definedName>
    <definedName name="task_start" localSheetId="3">Template!$E1</definedName>
    <definedName name="today" localSheetId="2">'Atlantic Packaging'!$E$3</definedName>
    <definedName name="today" localSheetId="3">Template!$E$3</definedName>
    <definedName name="valuevx">42.314159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5" l="1"/>
  <c r="I1" i="13"/>
  <c r="I1" i="11"/>
  <c r="B3" i="14"/>
  <c r="H6" i="14"/>
  <c r="G6" i="14"/>
  <c r="F6" i="14"/>
  <c r="E6" i="14"/>
  <c r="D6" i="14"/>
  <c r="B6" i="14"/>
  <c r="H13" i="13"/>
  <c r="H12" i="13"/>
  <c r="H11" i="13"/>
  <c r="H10" i="13"/>
  <c r="H9" i="13"/>
  <c r="H8" i="13"/>
  <c r="H7" i="13"/>
  <c r="I5" i="13"/>
  <c r="I4" i="13"/>
  <c r="E3" i="13"/>
  <c r="B13" i="12"/>
  <c r="H42" i="11"/>
  <c r="H41" i="11"/>
  <c r="H40" i="11"/>
  <c r="H39" i="11"/>
  <c r="H38" i="11"/>
  <c r="H37" i="11"/>
  <c r="H36" i="11"/>
  <c r="H35" i="11"/>
  <c r="H34" i="11"/>
  <c r="H33" i="11"/>
  <c r="H32" i="11"/>
  <c r="H31" i="11"/>
  <c r="H30" i="11"/>
  <c r="H29" i="11"/>
  <c r="H28" i="11"/>
  <c r="H27" i="11"/>
  <c r="H26" i="11"/>
  <c r="H25" i="11"/>
  <c r="H24" i="11"/>
  <c r="H23" i="11"/>
  <c r="H22" i="11"/>
  <c r="H21" i="11"/>
  <c r="H20" i="11"/>
  <c r="H19" i="11"/>
  <c r="H18" i="11"/>
  <c r="H17" i="11"/>
  <c r="H16" i="11"/>
  <c r="H15" i="11"/>
  <c r="H14" i="11"/>
  <c r="H13" i="11"/>
  <c r="H12" i="11"/>
  <c r="H11" i="11"/>
  <c r="H10" i="11"/>
  <c r="H9" i="11"/>
  <c r="H8" i="11"/>
  <c r="H7" i="11"/>
  <c r="I5" i="11"/>
  <c r="E3" i="11"/>
  <c r="I6" i="13" l="1"/>
  <c r="J5" i="13"/>
  <c r="I6" i="11"/>
  <c r="I4" i="11"/>
  <c r="J5" i="11"/>
  <c r="K5" i="13" l="1"/>
  <c r="J6" i="13"/>
  <c r="K5" i="11"/>
  <c r="J6" i="11"/>
  <c r="L5" i="13" l="1"/>
  <c r="K6" i="13"/>
  <c r="L5" i="11"/>
  <c r="K6" i="11"/>
  <c r="M5" i="13" l="1"/>
  <c r="L6" i="13"/>
  <c r="M5" i="11"/>
  <c r="L6" i="11"/>
  <c r="N5" i="13" l="1"/>
  <c r="M6" i="13"/>
  <c r="N5" i="11"/>
  <c r="M6" i="11"/>
  <c r="O5" i="13" l="1"/>
  <c r="N6" i="13"/>
  <c r="O5" i="11"/>
  <c r="N6" i="11"/>
  <c r="P5" i="13" l="1"/>
  <c r="O6" i="13"/>
  <c r="P5" i="11"/>
  <c r="O6" i="11"/>
  <c r="Q5" i="13" l="1"/>
  <c r="P6" i="13"/>
  <c r="P4" i="13"/>
  <c r="Q5" i="11"/>
  <c r="P6" i="11"/>
  <c r="P4" i="11"/>
  <c r="R5" i="13" l="1"/>
  <c r="Q6" i="13"/>
  <c r="R5" i="11"/>
  <c r="Q6" i="11"/>
  <c r="S5" i="13" l="1"/>
  <c r="R6" i="13"/>
  <c r="S5" i="11"/>
  <c r="R6" i="11"/>
  <c r="T5" i="13" l="1"/>
  <c r="S6" i="13"/>
  <c r="T5" i="11"/>
  <c r="S6" i="11"/>
  <c r="U5" i="13" l="1"/>
  <c r="T6" i="13"/>
  <c r="U5" i="11"/>
  <c r="T6" i="11"/>
  <c r="V5" i="13" l="1"/>
  <c r="U6" i="13"/>
  <c r="V5" i="11"/>
  <c r="U6" i="11"/>
  <c r="W5" i="13" l="1"/>
  <c r="V6" i="13"/>
  <c r="W5" i="11"/>
  <c r="V6" i="11"/>
  <c r="X5" i="13" l="1"/>
  <c r="W6" i="13"/>
  <c r="W4" i="13"/>
  <c r="X5" i="11"/>
  <c r="W4" i="11"/>
  <c r="W6" i="11"/>
  <c r="Y5" i="13" l="1"/>
  <c r="X6" i="13"/>
  <c r="Y5" i="11"/>
  <c r="X6" i="11"/>
  <c r="Z5" i="13" l="1"/>
  <c r="Y6" i="13"/>
  <c r="Z5" i="11"/>
  <c r="Y6" i="11"/>
  <c r="AA5" i="13" l="1"/>
  <c r="Z6" i="13"/>
  <c r="AA5" i="11"/>
  <c r="Z6" i="11"/>
  <c r="AB5" i="13" l="1"/>
  <c r="AA6" i="13"/>
  <c r="AB5" i="11"/>
  <c r="AA6" i="11"/>
  <c r="AC5" i="13" l="1"/>
  <c r="AB6" i="13"/>
  <c r="AC5" i="11"/>
  <c r="AB6" i="11"/>
  <c r="AD5" i="13" l="1"/>
  <c r="AC6" i="13"/>
  <c r="AD5" i="11"/>
  <c r="AC6" i="11"/>
  <c r="AE5" i="13" l="1"/>
  <c r="AD6" i="13"/>
  <c r="AD4" i="13"/>
  <c r="AE5" i="11"/>
  <c r="AD4" i="11"/>
  <c r="AD6" i="11"/>
  <c r="AF5" i="13" l="1"/>
  <c r="AE6" i="13"/>
  <c r="AF5" i="11"/>
  <c r="AE6" i="11"/>
  <c r="AG5" i="13" l="1"/>
  <c r="AF6" i="13"/>
  <c r="AG5" i="11"/>
  <c r="AF6" i="11"/>
  <c r="AH5" i="13" l="1"/>
  <c r="AG6" i="13"/>
  <c r="AH5" i="11"/>
  <c r="AG6" i="11"/>
  <c r="AI5" i="13" l="1"/>
  <c r="AH6" i="13"/>
  <c r="AI5" i="11"/>
  <c r="AH6" i="11"/>
  <c r="AJ5" i="13" l="1"/>
  <c r="AI6" i="13"/>
  <c r="AJ5" i="11"/>
  <c r="AI6" i="11"/>
  <c r="AK5" i="13" l="1"/>
  <c r="AJ6" i="13"/>
  <c r="AK5" i="11"/>
  <c r="AJ6" i="11"/>
  <c r="AK6" i="13" l="1"/>
  <c r="AK4" i="13"/>
  <c r="AL5" i="13"/>
  <c r="AL5" i="11"/>
  <c r="AK4" i="11"/>
  <c r="AK6" i="11"/>
  <c r="AM5" i="13" l="1"/>
  <c r="AL6" i="13"/>
  <c r="AM5" i="11"/>
  <c r="AL6" i="11"/>
  <c r="AM6" i="13" l="1"/>
  <c r="AN5" i="13"/>
  <c r="AN5" i="11"/>
  <c r="AM6" i="11"/>
  <c r="AN6" i="13" l="1"/>
  <c r="AO5" i="13"/>
  <c r="AO5" i="11"/>
  <c r="AN6" i="11"/>
  <c r="AP5" i="13" l="1"/>
  <c r="AO6" i="13"/>
  <c r="AP5" i="11"/>
  <c r="AO6" i="11"/>
  <c r="AQ5" i="13" l="1"/>
  <c r="AP6" i="13"/>
  <c r="AQ5" i="11"/>
  <c r="AP6" i="11"/>
  <c r="AQ6" i="13" l="1"/>
  <c r="AR5" i="13"/>
  <c r="AR5" i="11"/>
  <c r="AQ6" i="11"/>
  <c r="AS5" i="13" l="1"/>
  <c r="AR6" i="13"/>
  <c r="AR4" i="13"/>
  <c r="AS5" i="11"/>
  <c r="AR4" i="11"/>
  <c r="AR6" i="11"/>
  <c r="AS6" i="13" l="1"/>
  <c r="AT5" i="13"/>
  <c r="AT5" i="11"/>
  <c r="AS6" i="11"/>
  <c r="AT6" i="13" l="1"/>
  <c r="AU5" i="13"/>
  <c r="AU5" i="11"/>
  <c r="AT6" i="11"/>
  <c r="AV5" i="13" l="1"/>
  <c r="AU6" i="13"/>
  <c r="AV5" i="11"/>
  <c r="AU6" i="11"/>
  <c r="AV6" i="13" l="1"/>
  <c r="AW5" i="13"/>
  <c r="AW5" i="11"/>
  <c r="AV6" i="11"/>
  <c r="AX5" i="13" l="1"/>
  <c r="AW6" i="13"/>
  <c r="AX5" i="11"/>
  <c r="AW6" i="11"/>
  <c r="AY5" i="13" l="1"/>
  <c r="AX6" i="13"/>
  <c r="AY5" i="11"/>
  <c r="AX6" i="11"/>
  <c r="AY6" i="13" l="1"/>
  <c r="AY4" i="13"/>
  <c r="AZ5" i="13"/>
  <c r="AZ5" i="11"/>
  <c r="AY4" i="11"/>
  <c r="AY6" i="11"/>
  <c r="AZ6" i="13" l="1"/>
  <c r="BA5" i="13"/>
  <c r="BA5" i="11"/>
  <c r="AZ6" i="11"/>
  <c r="BA6" i="13" l="1"/>
  <c r="BB5" i="13"/>
  <c r="BB5" i="11"/>
  <c r="BA6" i="11"/>
  <c r="BC5" i="13" l="1"/>
  <c r="BB6" i="13"/>
  <c r="BC5" i="11"/>
  <c r="BB6" i="11"/>
  <c r="BD5" i="13" l="1"/>
  <c r="BC6" i="13"/>
  <c r="BD5" i="11"/>
  <c r="BC6" i="11"/>
  <c r="BE5" i="13" l="1"/>
  <c r="BD6" i="13"/>
  <c r="BE5" i="11"/>
  <c r="BD6" i="11"/>
  <c r="BE6" i="13" l="1"/>
  <c r="BF5" i="13"/>
  <c r="BF5" i="11"/>
  <c r="BE6" i="11"/>
  <c r="BF6" i="13" l="1"/>
  <c r="BF4" i="13"/>
  <c r="BG5" i="13"/>
  <c r="BG5" i="11"/>
  <c r="BF4" i="11"/>
  <c r="BF6" i="11"/>
  <c r="BH5" i="13" l="1"/>
  <c r="BG6" i="13"/>
  <c r="BH5" i="11"/>
  <c r="BG6" i="11"/>
  <c r="BI5" i="13" l="1"/>
  <c r="BH6" i="13"/>
  <c r="BI5" i="11"/>
  <c r="BH6" i="11"/>
  <c r="BI6" i="13" l="1"/>
  <c r="BJ5" i="13"/>
  <c r="BJ5" i="11"/>
  <c r="BI6" i="11"/>
  <c r="BK5" i="13" l="1"/>
  <c r="BJ6" i="13"/>
  <c r="BK5" i="11"/>
  <c r="BJ6" i="11"/>
  <c r="BK6" i="13" l="1"/>
  <c r="BL5" i="13"/>
  <c r="BL5" i="11"/>
  <c r="BK6" i="11"/>
  <c r="BM5" i="13" l="1"/>
  <c r="BL6" i="13"/>
  <c r="BM5" i="11"/>
  <c r="BL6" i="11"/>
  <c r="BM6" i="13" l="1"/>
  <c r="BM4" i="13"/>
  <c r="BN5" i="13"/>
  <c r="BN5" i="11"/>
  <c r="BM4" i="11"/>
  <c r="BM6" i="11"/>
  <c r="BO5" i="13" l="1"/>
  <c r="BN6" i="13"/>
  <c r="BO5" i="11"/>
  <c r="BN6" i="11"/>
  <c r="BO6" i="13" l="1"/>
  <c r="BP5" i="13"/>
  <c r="BP5" i="11"/>
  <c r="BO6" i="11"/>
  <c r="BQ5" i="13" l="1"/>
  <c r="BP6" i="13"/>
  <c r="BQ5" i="11"/>
  <c r="BP6" i="11"/>
  <c r="BR5" i="13" l="1"/>
  <c r="BQ6" i="13"/>
  <c r="BR5" i="11"/>
  <c r="BQ6" i="11"/>
  <c r="BR6" i="13" l="1"/>
  <c r="BS5" i="13"/>
  <c r="BS5" i="11"/>
  <c r="BR6" i="11"/>
  <c r="BT5" i="13" l="1"/>
  <c r="BS6" i="13"/>
  <c r="BT5" i="11"/>
  <c r="BS6" i="11"/>
  <c r="BU5" i="13" l="1"/>
  <c r="BT6" i="13"/>
  <c r="BT4" i="13"/>
  <c r="BU5" i="11"/>
  <c r="BT6" i="11"/>
  <c r="BT4" i="11"/>
  <c r="BU6" i="13" l="1"/>
  <c r="BV5" i="13"/>
  <c r="BV5" i="11"/>
  <c r="BU6" i="11"/>
  <c r="BW5" i="13" l="1"/>
  <c r="BV6" i="13"/>
  <c r="BW5" i="11"/>
  <c r="BV6" i="11"/>
  <c r="BW6" i="13" l="1"/>
  <c r="BX5" i="13"/>
  <c r="BX5" i="11"/>
  <c r="BW6" i="11"/>
  <c r="BY5" i="13" l="1"/>
  <c r="BX6" i="13"/>
  <c r="BY5" i="11"/>
  <c r="BX6" i="11"/>
  <c r="BY6" i="13" l="1"/>
  <c r="BZ5" i="13"/>
  <c r="BZ5" i="11"/>
  <c r="BY6" i="11"/>
  <c r="CA5" i="13" l="1"/>
  <c r="BZ6" i="13"/>
  <c r="CA5" i="11"/>
  <c r="BZ6" i="11"/>
  <c r="CB5" i="13" l="1"/>
  <c r="CA6" i="13"/>
  <c r="CA4" i="13"/>
  <c r="CB5" i="11"/>
  <c r="CA6" i="11"/>
  <c r="CA4" i="11"/>
  <c r="CC5" i="13" l="1"/>
  <c r="CB6" i="13"/>
  <c r="CC5" i="11"/>
  <c r="CB6" i="11"/>
  <c r="CC6" i="13" l="1"/>
  <c r="CD5" i="13"/>
  <c r="CD5" i="11"/>
  <c r="CC6" i="11"/>
  <c r="CE5" i="13" l="1"/>
  <c r="CD6" i="13"/>
  <c r="CE5" i="11"/>
  <c r="CD6" i="11"/>
  <c r="CF5" i="13" l="1"/>
  <c r="CE6" i="13"/>
  <c r="CF5" i="11"/>
  <c r="CE6" i="11"/>
  <c r="CF6" i="13" l="1"/>
  <c r="CG5" i="13"/>
  <c r="CG5" i="11"/>
  <c r="CF6" i="11"/>
  <c r="CG6" i="13" l="1"/>
  <c r="CH5" i="13"/>
  <c r="CH5" i="11"/>
  <c r="CG6" i="11"/>
  <c r="CH6" i="13" l="1"/>
  <c r="CH4" i="13"/>
  <c r="CI5" i="13"/>
  <c r="CI5" i="11"/>
  <c r="CH6" i="11"/>
  <c r="CH4" i="11"/>
  <c r="CJ5" i="13" l="1"/>
  <c r="CI6" i="13"/>
  <c r="CJ5" i="11"/>
  <c r="CI6" i="11"/>
  <c r="CK5" i="13" l="1"/>
  <c r="CJ6" i="13"/>
  <c r="CK5" i="11"/>
  <c r="CJ6" i="11"/>
  <c r="CK6" i="13" l="1"/>
  <c r="CL5" i="13"/>
  <c r="CL5" i="11"/>
  <c r="CK6" i="11"/>
  <c r="CM5" i="13" l="1"/>
  <c r="CL6" i="13"/>
  <c r="CM5" i="11"/>
  <c r="CL6" i="11"/>
  <c r="CN5" i="13" l="1"/>
  <c r="CM6" i="13"/>
  <c r="CN5" i="11"/>
  <c r="CM6" i="11"/>
  <c r="CN6" i="13" l="1"/>
  <c r="CO5" i="13"/>
  <c r="CO5" i="11"/>
  <c r="CN6" i="11"/>
  <c r="CP5" i="13" l="1"/>
  <c r="CO6" i="13"/>
  <c r="CO4" i="13"/>
  <c r="CP5" i="11"/>
  <c r="CO6" i="11"/>
  <c r="CO4" i="11"/>
  <c r="CP6" i="13" l="1"/>
  <c r="CQ5" i="13"/>
  <c r="CQ5" i="11"/>
  <c r="CP6" i="11"/>
  <c r="CR5" i="13" l="1"/>
  <c r="CQ6" i="13"/>
  <c r="CR5" i="11"/>
  <c r="CQ6" i="11"/>
  <c r="CR6" i="13" l="1"/>
  <c r="CS5" i="13"/>
  <c r="CS5" i="11"/>
  <c r="CR6" i="11"/>
  <c r="CS6" i="13" l="1"/>
  <c r="CT5" i="13"/>
  <c r="CT5" i="11"/>
  <c r="CS6" i="11"/>
  <c r="CU5" i="13" l="1"/>
  <c r="CT6" i="13"/>
  <c r="CT6" i="11"/>
  <c r="CU5" i="11"/>
  <c r="CV5" i="13" l="1"/>
  <c r="CU6" i="13"/>
  <c r="CV5" i="11"/>
  <c r="CU6" i="11"/>
  <c r="CV6" i="13" l="1"/>
  <c r="CV4" i="13"/>
  <c r="CW5" i="13"/>
  <c r="CV6" i="11"/>
  <c r="CW5" i="11"/>
  <c r="CV4" i="11"/>
  <c r="CX5" i="13" l="1"/>
  <c r="CW6" i="13"/>
  <c r="CX5" i="11"/>
  <c r="CW6" i="11"/>
  <c r="CX6" i="13" l="1"/>
  <c r="CY5" i="13"/>
  <c r="CY5" i="11"/>
  <c r="CX6" i="11"/>
  <c r="CZ5" i="13" l="1"/>
  <c r="CY6" i="13"/>
  <c r="CZ5" i="11"/>
  <c r="CY6" i="11"/>
  <c r="CZ6" i="13" l="1"/>
  <c r="DA5" i="13"/>
  <c r="DA5" i="11"/>
  <c r="CZ6" i="11"/>
  <c r="DB5" i="13" l="1"/>
  <c r="DA6" i="13"/>
  <c r="DB5" i="11"/>
  <c r="DA6" i="11"/>
  <c r="DB6" i="13" l="1"/>
  <c r="DC5" i="13"/>
  <c r="DC5" i="11"/>
  <c r="DB6" i="11"/>
  <c r="DD5" i="13" l="1"/>
  <c r="DC6" i="13"/>
  <c r="DC4" i="13"/>
  <c r="DD5" i="11"/>
  <c r="DC6" i="11"/>
  <c r="DC4" i="11"/>
  <c r="DD6" i="13" l="1"/>
  <c r="DE5" i="13"/>
  <c r="DE5" i="11"/>
  <c r="DD6" i="11"/>
  <c r="DF5" i="13" l="1"/>
  <c r="DE6" i="13"/>
  <c r="DF5" i="11"/>
  <c r="DE6" i="11"/>
  <c r="DF6" i="13" l="1"/>
  <c r="DG5" i="13"/>
  <c r="DG5" i="11"/>
  <c r="DF6" i="11"/>
  <c r="DH5" i="13" l="1"/>
  <c r="DG6" i="13"/>
  <c r="DH5" i="11"/>
  <c r="DG6" i="11"/>
  <c r="DI5" i="13" l="1"/>
  <c r="DH6" i="13"/>
  <c r="DI5" i="11"/>
  <c r="DH6" i="11"/>
  <c r="DJ5" i="13" l="1"/>
  <c r="DI6" i="13"/>
  <c r="DJ5" i="11"/>
  <c r="DI6" i="11"/>
  <c r="DK5" i="13" l="1"/>
  <c r="DJ6" i="13"/>
  <c r="DJ4" i="13"/>
  <c r="DK5" i="11"/>
  <c r="DJ6" i="11"/>
  <c r="DJ4" i="11"/>
  <c r="DL5" i="13" l="1"/>
  <c r="DK6" i="13"/>
  <c r="DL5" i="11"/>
  <c r="DK6" i="11"/>
  <c r="DM5" i="13" l="1"/>
  <c r="DL6" i="13"/>
  <c r="DM5" i="11"/>
  <c r="DL6" i="11"/>
  <c r="DN5" i="13" l="1"/>
  <c r="DM6" i="13"/>
  <c r="DN5" i="11"/>
  <c r="DM6" i="11"/>
  <c r="DO5" i="13" l="1"/>
  <c r="DN6" i="13"/>
  <c r="DO5" i="11"/>
  <c r="DN6" i="11"/>
  <c r="DP5" i="13" l="1"/>
  <c r="DO6" i="13"/>
  <c r="DP5" i="11"/>
  <c r="DO6" i="11"/>
  <c r="DQ5" i="13" l="1"/>
  <c r="DP6" i="13"/>
  <c r="DQ5" i="11"/>
  <c r="DP6" i="11"/>
  <c r="DQ6" i="13" l="1"/>
  <c r="DQ4" i="13"/>
  <c r="DR5" i="13"/>
  <c r="DR5" i="11"/>
  <c r="DQ6" i="11"/>
  <c r="DQ4" i="11"/>
  <c r="DS5" i="13" l="1"/>
  <c r="DR6" i="13"/>
  <c r="DS5" i="11"/>
  <c r="DR6" i="11"/>
  <c r="DT5" i="13" l="1"/>
  <c r="DS6" i="13"/>
  <c r="DT5" i="11"/>
  <c r="DS6" i="11"/>
  <c r="DU5" i="13" l="1"/>
  <c r="DT6" i="13"/>
  <c r="DU5" i="11"/>
  <c r="DT6" i="11"/>
  <c r="DV5" i="13" l="1"/>
  <c r="DU6" i="13"/>
  <c r="DV5" i="11"/>
  <c r="DU6" i="11"/>
  <c r="DW5" i="13" l="1"/>
  <c r="DV6" i="13"/>
  <c r="DW5" i="11"/>
  <c r="DV6" i="11"/>
  <c r="DX5" i="13" l="1"/>
  <c r="DW6" i="13"/>
  <c r="DX5" i="11"/>
  <c r="DW6" i="11"/>
  <c r="DY5" i="13" l="1"/>
  <c r="DX6" i="13"/>
  <c r="DX4" i="13"/>
  <c r="DY5" i="11"/>
  <c r="DX6" i="11"/>
  <c r="DX4" i="11"/>
  <c r="DZ5" i="13" l="1"/>
  <c r="DY6" i="13"/>
  <c r="DZ5" i="11"/>
  <c r="DY6" i="11"/>
  <c r="EA5" i="13" l="1"/>
  <c r="DZ6" i="13"/>
  <c r="EA5" i="11"/>
  <c r="DZ6" i="11"/>
  <c r="EB5" i="13" l="1"/>
  <c r="EA6" i="13"/>
  <c r="EB5" i="11"/>
  <c r="EA6" i="11"/>
  <c r="EC5" i="13" l="1"/>
  <c r="EB6" i="13"/>
  <c r="EC5" i="11"/>
  <c r="EB6" i="11"/>
  <c r="ED5" i="13" l="1"/>
  <c r="ED6" i="13" s="1"/>
  <c r="EC6" i="13"/>
  <c r="ED5" i="11"/>
  <c r="ED6" i="11" s="1"/>
  <c r="EC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00000000-0006-0000-0000-000001000000}">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Vertex42.com Templates</author>
  </authors>
  <commentList>
    <comment ref="H6" authorId="0" shapeId="0" xr:uid="{2EBF3D2A-F4F4-4CCE-B7BA-7DE1064621C4}">
      <text>
        <r>
          <rPr>
            <b/>
            <sz val="9"/>
            <color indexed="81"/>
            <rFont val="Tahoma"/>
            <family val="2"/>
          </rPr>
          <t>DAYS:</t>
        </r>
        <r>
          <rPr>
            <sz val="9"/>
            <color indexed="81"/>
            <rFont val="Tahoma"/>
            <family val="2"/>
          </rPr>
          <t xml:space="preserve">
This column calculates the duration of the task in calendar days. The duration includes both the Start and End dates.</t>
        </r>
      </text>
    </comment>
  </commentList>
</comments>
</file>

<file path=xl/sharedStrings.xml><?xml version="1.0" encoding="utf-8"?>
<sst xmlns="http://schemas.openxmlformats.org/spreadsheetml/2006/main" count="146" uniqueCount="106">
  <si>
    <t>Atlantic Packaging Network Install</t>
  </si>
  <si>
    <t>Idea Networks</t>
  </si>
  <si>
    <t>Project Start:</t>
  </si>
  <si>
    <t>Ryan King</t>
  </si>
  <si>
    <t>Today:</t>
  </si>
  <si>
    <t>Progress Invoice</t>
  </si>
  <si>
    <t>Progress invoice</t>
  </si>
  <si>
    <t>Completion Invoice</t>
  </si>
  <si>
    <t>Display Week:</t>
  </si>
  <si>
    <t>TASK</t>
  </si>
  <si>
    <t>ASSIGNED
TO</t>
  </si>
  <si>
    <t>PROGRESS</t>
  </si>
  <si>
    <t>DAYS</t>
  </si>
  <si>
    <t>Pre-Installation Coordination</t>
  </si>
  <si>
    <t>Confirm Cabinet Locations &amp; CO Approval</t>
  </si>
  <si>
    <t>Order Material (Above Dependency)</t>
  </si>
  <si>
    <t>Print Site Drawings (Requested)</t>
  </si>
  <si>
    <t>Confirm Lift Availability</t>
  </si>
  <si>
    <t>Confirm and Schedule Manpower</t>
  </si>
  <si>
    <t>Site Review</t>
  </si>
  <si>
    <t>Cabinet Installation</t>
  </si>
  <si>
    <t>Planning and Preparation</t>
  </si>
  <si>
    <t>Cabinet 1&amp;2</t>
  </si>
  <si>
    <t>Cabinet 3&amp;4</t>
  </si>
  <si>
    <t>Cabinet 5 &amp; MDF Cabinets</t>
  </si>
  <si>
    <t>Cable Pathway</t>
  </si>
  <si>
    <t>Fiber Installation</t>
  </si>
  <si>
    <t>Rough In</t>
  </si>
  <si>
    <t>Termination</t>
  </si>
  <si>
    <t>Testing</t>
  </si>
  <si>
    <t>Clean Up Documentation</t>
  </si>
  <si>
    <t>Copper Installation</t>
  </si>
  <si>
    <t>Equipment Installation</t>
  </si>
  <si>
    <t>AP Deployment/Documentation</t>
  </si>
  <si>
    <t>IT Cabinet Equipment</t>
  </si>
  <si>
    <t>Clean and Remove Site tools</t>
  </si>
  <si>
    <t>Documentation</t>
  </si>
  <si>
    <t>Manufacturer Certification</t>
  </si>
  <si>
    <t>Insert new rows ABOVE this one</t>
  </si>
  <si>
    <t>SIMPLE GANTT CHART by Vertex42.com</t>
  </si>
  <si>
    <t>https://www.vertex42.com/ExcelTemplates/simple-gantt-chart.html</t>
  </si>
  <si>
    <t>© 2018-2019 Vertex42 LLC</t>
  </si>
  <si>
    <t>About This Template</t>
  </si>
  <si>
    <t>This template provides a simple way to create a Gantt chart to help visualize and track your project. Simply enter your tasks and start and end dates - no formulas required. The bars in the Gantt chart represent the duration of the task and are displayed using conditional formatting. Insert new tasks by inserting new rows.</t>
  </si>
  <si>
    <t>Additional Help</t>
  </si>
  <si>
    <t>Click on the link below to visit vertex42.com and learn more about how to use this template, such as how to calculate days and work days, create task dependencies, change the colors of the bars, add a scroll bar to make it easier to change the display week, extend the date range displayed in the chart, etc.</t>
  </si>
  <si>
    <t>How to Use the Simple Gantt Chart</t>
  </si>
  <si>
    <t>More Project Management Templates</t>
  </si>
  <si>
    <t>Visit Vertex42.com to download other project management templates, including different types of project schedules, Gantt charts, tasks lists, etc.</t>
  </si>
  <si>
    <t>Project Management Templates</t>
  </si>
  <si>
    <t>About Vertex42</t>
  </si>
  <si>
    <t>Vertex42.com provides over 300 professionally designed spreadsheet templates for business, home, and education - most of which are free to download. Their collection includes a variety of calendars, planners, and schedules as well as personal finance spreadsheets for budgeting, debt reduction, and loan amortization.</t>
  </si>
  <si>
    <t>Businesses will find invoices, time sheets, inventory trackers, financial statements, and project planning templates. Teachers and students will find resources such as class schedules, grade books, and attendance sheets. Organize your family life with meal planners, checklists, and exercise logs. Each template is thoroughly researched, refined, and improved over time through feedback from thousands of users.</t>
  </si>
  <si>
    <t>New Project</t>
  </si>
  <si>
    <t>Project Manager</t>
  </si>
  <si>
    <t>Planning</t>
  </si>
  <si>
    <t>New Task</t>
  </si>
  <si>
    <t>Projects</t>
  </si>
  <si>
    <t>Idea Networks - click a project name to open it</t>
  </si>
  <si>
    <t>Project</t>
  </si>
  <si>
    <t>Client</t>
  </si>
  <si>
    <t>Start</t>
  </si>
  <si>
    <t>Finish</t>
  </si>
  <si>
    <t>Progress</t>
  </si>
  <si>
    <t>Status</t>
  </si>
  <si>
    <t>Archived</t>
  </si>
  <si>
    <t>Tab</t>
  </si>
  <si>
    <t>Atlantic Packaging</t>
  </si>
  <si>
    <t>How to use this workbook</t>
  </si>
  <si>
    <t>Finding your way around</t>
  </si>
  <si>
    <t>•</t>
  </si>
  <si>
    <t>One tab per project: the Gantt chart. The '◄ All projects' link at the top of the chart takes you back to the Projects tab.</t>
  </si>
  <si>
    <t>Template (hidden tab): new projects are copied from it. To change what new projects start with, right-click any tab &gt; Unhide &gt; Template, edit it, then hide it again.</t>
  </si>
  <si>
    <t>Start a new project</t>
  </si>
  <si>
    <t>1.  Go to the Projects tab and click + New Project.</t>
  </si>
  <si>
    <t>3.  The new tab opens with one 'Planning' section and one task. Rename them and add your own sections and tasks.</t>
  </si>
  <si>
    <t>Build the schedule</t>
  </si>
  <si>
    <t>+ Add Task: select a task and click; the new task goes right below it. Select a section header instead and it goes at the end of that section.</t>
  </si>
  <si>
    <t>+ Add Section: select anything in a section and click; the new section goes after it. With nothing in the task list selected, it goes at the end.</t>
  </si>
  <si>
    <t>Delete Rows: select the tasks to delete (Ctrl+click for several) and click. Selecting a section header deletes the whole section. You'll be asked to confirm.</t>
  </si>
  <si>
    <t>Type task names, Assigned To, Progress (%), Start and End straight into the cells. The bars, DAYS and the Projects tab update by themselves.</t>
  </si>
  <si>
    <t>Display Week (cell E4) moves the chart: 1 is the week the project starts, 2 the week after, and so on.</t>
  </si>
  <si>
    <t>Finish or put away a project</t>
  </si>
  <si>
    <t>On the Projects tab, select the project's row and click Archive / Restore. Its tab is hidden and its status shows Archived.</t>
  </si>
  <si>
    <t>To bring it back, select the archived row and click Archive / Restore again.</t>
  </si>
  <si>
    <t>Good to know</t>
  </si>
  <si>
    <t>Button actions can't be undone with Ctrl+Z. Save before big changes.</t>
  </si>
  <si>
    <t>Keep all tasks above the grey 'Insert new rows ABOVE this one' row.</t>
  </si>
  <si>
    <t>If you rename a project tab, type the new name in its Tab cell on the Projects tab so the link and Archive / Restore keep working.</t>
  </si>
  <si>
    <t>Progress on the Projects tab weights each task by its length in days. Status turns Overdue when today is past the last end date and progress is under 100%.</t>
  </si>
  <si>
    <t>If a red bar says 'Microsoft has blocked macros', close the file, right-click it &gt; Properties &gt; tick Unblock &gt; OK, then open it again.</t>
  </si>
  <si>
    <t>One Gantt chart per project, plus a Projects overview. Idea Networks. Desktop Excel version (macros).</t>
  </si>
  <si>
    <t>Opening the macros</t>
  </si>
  <si>
    <t>If a yellow bar says 'Enable Content', click it.</t>
  </si>
  <si>
    <t>The macro buttons only work in desktop Excel. For Excel for the web / Teams, use the online version of this workbook.</t>
  </si>
  <si>
    <t>Email Snapshot to Client (on the project's tab): makes a PDF and an Excel copy of just that project and opens an Outlook draft to the client with both attached. Check it and press Send.</t>
  </si>
  <si>
    <t>Export Snapshot: saves the same PDF and Excel copy to a folder you choose.</t>
  </si>
  <si>
    <t>The snapshot is a frozen copy as of today: no other projects, no formulas, no invoice markers or internal controls. The client's email comes from the Client Email column on the Projects tab.</t>
  </si>
  <si>
    <t>Client Email</t>
  </si>
  <si>
    <t>Projects tab: one line per project with client, project manager, start, finish, progress, status and client email. Click a project name to open its tab.</t>
  </si>
  <si>
    <t>2.  Enter the project name, client, client email (optional), project manager and start date (for example 2026-11-02).</t>
  </si>
  <si>
    <t>Send the client a snapshot</t>
  </si>
  <si>
    <t>START 📅</t>
  </si>
  <si>
    <t>END 📅</t>
  </si>
  <si>
    <t>Start and End (📅) only take dates: type one like 2026-11-02. Selecting the cell shows the same hint.</t>
  </si>
  <si>
    <t>Headings, formulas and the Projects tab's calculated columns are locked so they can't be broken by accident. You can type in the task rows, the project name, manager, start date and Display Week, and in Client, Tab and Client Email on the Projects tab. The buttons work as before.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</si>
</sst>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d/yy;@"/>
    <numFmt numFmtId="165" formatCode="mmm\ d\,\ yyyy"/>
    <numFmt numFmtId="166" formatCode="d"/>
    <numFmt numFmtId="167" formatCode="[$-F800]dddd\,\ mmmm\ dd\,\ yyyy"/>
  </numFmts>
  <fonts count="39" x14ac:knownFonts="1">
    <font>
      <sz val="11"/>
      <color theme="1"/>
      <name val="Calibri"/>
      <family val="2"/>
      <scheme val="minor"/>
    </font>
    <font>
      <b/>
      <sz val="20"/>
      <color theme="4" tint="-0.249977111117893"/>
      <name val="Calibri"/>
      <family val="2"/>
      <scheme val="major"/>
    </font>
    <font>
      <sz val="10"/>
      <name val="Calibri"/>
      <family val="2"/>
      <scheme val="minor"/>
    </font>
    <font>
      <u/>
      <sz val="11"/>
      <color indexed="12"/>
      <name val="Arial"/>
      <family val="2"/>
    </font>
    <font>
      <sz val="10"/>
      <color theme="1" tint="0.499984740745262"/>
      <name val="Calibri"/>
      <family val="2"/>
      <scheme val="minor"/>
    </font>
    <font>
      <sz val="11"/>
      <name val="Calibri"/>
      <family val="2"/>
      <scheme val="minor"/>
    </font>
    <font>
      <b/>
      <sz val="11"/>
      <color theme="1"/>
      <name val="Calibri"/>
      <family val="2"/>
      <scheme val="minor"/>
    </font>
    <font>
      <b/>
      <sz val="9"/>
      <color theme="0"/>
      <name val="Calibri"/>
      <family val="2"/>
      <scheme val="minor"/>
    </font>
    <font>
      <i/>
      <sz val="9"/>
      <color theme="1"/>
      <name val="Calibri"/>
      <family val="2"/>
      <scheme val="minor"/>
    </font>
    <font>
      <sz val="11"/>
      <color theme="1"/>
      <name val="Calibri"/>
      <family val="2"/>
      <scheme val="minor"/>
    </font>
    <font>
      <sz val="14"/>
      <color theme="1"/>
      <name val="Calibri"/>
      <family val="2"/>
      <scheme val="minor"/>
    </font>
    <font>
      <sz val="9"/>
      <name val="Calibri"/>
      <family val="2"/>
      <scheme val="minor"/>
    </font>
    <font>
      <sz val="9"/>
      <color indexed="81"/>
      <name val="Tahoma"/>
      <family val="2"/>
    </font>
    <font>
      <b/>
      <sz val="9"/>
      <color indexed="81"/>
      <name val="Tahoma"/>
      <family val="2"/>
    </font>
    <font>
      <sz val="8"/>
      <color theme="0"/>
      <name val="Calibri"/>
      <family val="2"/>
      <scheme val="minor"/>
    </font>
    <font>
      <b/>
      <sz val="22"/>
      <color theme="1" tint="0.34998626667073579"/>
      <name val="Calibri"/>
      <family val="2"/>
      <scheme val="major"/>
    </font>
    <font>
      <b/>
      <sz val="11"/>
      <color theme="1" tint="0.499984740745262"/>
      <name val="Calibri"/>
      <family val="2"/>
      <scheme val="minor"/>
    </font>
    <font>
      <sz val="10"/>
      <color theme="1" tint="0.499984740745262"/>
      <name val="Arial"/>
      <family val="2"/>
    </font>
    <font>
      <sz val="16"/>
      <color theme="1"/>
      <name val="Calibri"/>
      <family val="2"/>
      <scheme val="minor"/>
    </font>
    <font>
      <b/>
      <sz val="12"/>
      <color theme="1" tint="0.34998626667073579"/>
      <name val="Calibri"/>
      <family val="2"/>
      <scheme val="minor"/>
    </font>
    <font>
      <b/>
      <sz val="10"/>
      <name val="Calibri"/>
      <family val="2"/>
      <scheme val="minor"/>
    </font>
    <font>
      <sz val="11"/>
      <color theme="1" tint="0.499984740745262"/>
      <name val="Calibri"/>
      <family val="2"/>
      <scheme val="minor"/>
    </font>
    <font>
      <sz val="20"/>
      <name val="Calibri"/>
      <family val="2"/>
      <scheme val="major"/>
    </font>
    <font>
      <sz val="11"/>
      <color rgb="FF1D2129"/>
      <name val="Calibri"/>
      <family val="2"/>
      <scheme val="minor"/>
    </font>
    <font>
      <b/>
      <sz val="16"/>
      <color theme="4" tint="-0.249977111117893"/>
      <name val="Calibri"/>
      <family val="2"/>
      <scheme val="major"/>
    </font>
    <font>
      <sz val="11"/>
      <color theme="0"/>
      <name val="Calibri"/>
      <family val="2"/>
      <scheme val="minor"/>
    </font>
    <font>
      <sz val="10"/>
      <color theme="1" tint="0.34998626667073579"/>
      <name val="Calibri"/>
      <family val="2"/>
      <scheme val="minor"/>
    </font>
    <font>
      <sz val="9"/>
      <color theme="1" tint="0.499984740745262"/>
      <name val="Arial"/>
      <family val="2"/>
    </font>
    <font>
      <u/>
      <sz val="9"/>
      <color theme="4" tint="-0.249977111117893"/>
      <name val="Arial"/>
      <family val="2"/>
    </font>
    <font>
      <u/>
      <sz val="10"/>
      <color rgb="FF0563C1"/>
      <name val="Arial"/>
      <family val="2"/>
    </font>
    <font>
      <b/>
      <sz val="20"/>
      <color theme="1"/>
      <name val="Calibri"/>
      <family val="2"/>
      <scheme val="minor"/>
    </font>
    <font>
      <sz val="10"/>
      <color rgb="FF595959"/>
      <name val="Calibri"/>
      <family val="2"/>
      <scheme val="minor"/>
    </font>
    <font>
      <b/>
      <sz val="11"/>
      <color rgb="FFFFFFFF"/>
      <name val="Calibri"/>
      <family val="2"/>
      <scheme val="minor"/>
    </font>
    <font>
      <sz val="11"/>
      <color rgb="FF808080"/>
      <name val="Calibri"/>
      <family val="2"/>
      <scheme val="minor"/>
    </font>
    <font>
      <sz val="11"/>
      <color rgb="FF000000"/>
      <name val="Calibri"/>
      <family val="2"/>
    </font>
    <font>
      <sz val="11"/>
      <color theme="1"/>
      <name val="Arial"/>
      <family val="2"/>
    </font>
    <font>
      <b/>
      <sz val="20"/>
      <color theme="1"/>
      <name val="Arial"/>
      <family val="2"/>
    </font>
    <font>
      <sz val="11"/>
      <color rgb="FF595959"/>
      <name val="Arial"/>
      <family val="2"/>
    </font>
    <font>
      <b/>
      <sz val="13"/>
      <color rgb="FF44546A"/>
      <name val="Arial"/>
      <family val="2"/>
    </font>
  </fonts>
  <fills count="1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9" tint="-0.249977111117893"/>
        <bgColor indexed="64"/>
      </patternFill>
    </fill>
    <fill>
      <patternFill patternType="solid">
        <fgColor theme="0"/>
        <bgColor indexed="64"/>
      </patternFill>
    </fill>
    <fill>
      <patternFill patternType="solid">
        <fgColor rgb="FF44546A"/>
        <bgColor indexed="64"/>
      </patternFill>
    </fill>
    <fill>
      <patternFill patternType="solid">
        <fgColor rgb="FFD9D9D9"/>
        <bgColor indexed="64"/>
      </patternFill>
    </fill>
  </fills>
  <borders count="13">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rgb="FFD9D9D9"/>
      </bottom>
      <diagonal/>
    </border>
  </borders>
  <cellStyleXfs count="3">
    <xf numFmtId="0" fontId="0" fillId="0" borderId="0"/>
    <xf numFmtId="0" fontId="3" fillId="0" borderId="0" applyNumberFormat="0" applyFill="0" applyBorder="0" applyAlignment="0" applyProtection="0">
      <alignment vertical="top"/>
      <protection locked="0"/>
    </xf>
    <xf numFmtId="9" fontId="9" fillId="0" borderId="0" applyFont="0" applyFill="0" applyBorder="0" applyAlignment="0" applyProtection="0"/>
  </cellStyleXfs>
  <cellXfs count="137">
    <xf numFmtId="0" fontId="0" fillId="0" borderId="0" xfId="0"/>
    <xf numFmtId="0" fontId="2" fillId="0" borderId="0" xfId="0" applyFont="1"/>
    <xf numFmtId="0" fontId="17" fillId="0" borderId="0" xfId="1" applyFont="1" applyAlignment="1" applyProtection="1"/>
    <xf numFmtId="0" fontId="2" fillId="0" borderId="0" xfId="0" applyFont="1" applyAlignment="1">
      <alignment vertical="top"/>
    </xf>
    <xf numFmtId="0" fontId="19" fillId="0" borderId="0" xfId="0" applyFont="1" applyAlignment="1">
      <alignment horizontal="left" vertical="center"/>
    </xf>
    <xf numFmtId="0" fontId="20" fillId="0" borderId="0" xfId="0" applyFont="1" applyAlignment="1">
      <alignment horizontal="left" vertical="center"/>
    </xf>
    <xf numFmtId="0" fontId="21" fillId="0" borderId="0" xfId="0" applyFont="1" applyAlignment="1">
      <alignment vertical="center"/>
    </xf>
    <xf numFmtId="0" fontId="2" fillId="0" borderId="0" xfId="0" applyFont="1" applyAlignment="1">
      <alignment horizontal="left" vertical="center"/>
    </xf>
    <xf numFmtId="0" fontId="22" fillId="0" borderId="0" xfId="0" applyFont="1"/>
    <xf numFmtId="0" fontId="23" fillId="0" borderId="0" xfId="0" applyFont="1" applyAlignment="1">
      <alignment vertical="top" wrapText="1"/>
    </xf>
    <xf numFmtId="0" fontId="24" fillId="0" borderId="0" xfId="0" applyFont="1" applyAlignment="1">
      <alignment vertical="center"/>
    </xf>
    <xf numFmtId="0" fontId="23" fillId="0" borderId="0" xfId="0" applyFont="1" applyAlignment="1">
      <alignment horizontal="left" vertical="top" wrapText="1" indent="1"/>
    </xf>
    <xf numFmtId="0" fontId="3" fillId="0" borderId="0" xfId="1" applyAlignment="1" applyProtection="1">
      <alignment horizontal="left" indent="1"/>
    </xf>
    <xf numFmtId="0" fontId="26" fillId="0" borderId="0" xfId="0" applyFont="1" applyAlignment="1">
      <alignment vertical="top"/>
    </xf>
    <xf numFmtId="0" fontId="27" fillId="0" borderId="0" xfId="1" applyFont="1" applyAlignment="1" applyProtection="1"/>
    <xf numFmtId="0" fontId="3" fillId="0" borderId="0" xfId="1" applyFill="1" applyAlignment="1" applyProtection="1">
      <alignment horizontal="left" indent="1"/>
    </xf>
    <xf numFmtId="0" fontId="3" fillId="0" borderId="12" xfId="1" applyBorder="1" applyAlignment="1" applyProtection="1">
      <alignment vertical="center"/>
    </xf>
    <xf numFmtId="0" fontId="28" fillId="0" borderId="0" xfId="1" applyFont="1" applyAlignment="1" applyProtection="1">
      <alignment horizontal="left" vertical="center"/>
    </xf>
    <xf numFmtId="0" fontId="29" fillId="0" borderId="0" xfId="1" applyFont="1" applyAlignment="1" applyProtection="1"/>
    <xf numFmtId="0" fontId="29" fillId="0" borderId="0" xfId="1" applyFont="1" applyAlignment="1" applyProtection="1">
      <alignment vertical="center"/>
    </xf>
    <xf numFmtId="0" fontId="29" fillId="0" borderId="0" xfId="1" applyFont="1" applyAlignment="1" applyProtection="1">
      <alignment horizontal="left" vertical="center"/>
    </xf>
    <xf numFmtId="0" fontId="0" fillId="0" borderId="0" xfId="0" applyProtection="1"/>
    <xf numFmtId="0" fontId="36" fillId="0" borderId="0" xfId="0" applyFont="1" applyAlignment="1" applyProtection="1">
      <alignment vertical="top"/>
    </xf>
    <xf numFmtId="0" fontId="35" fillId="0" borderId="0" xfId="0" applyFont="1" applyAlignment="1" applyProtection="1">
      <alignment vertical="top"/>
    </xf>
    <xf numFmtId="0" fontId="35" fillId="0" borderId="0" xfId="0" applyFont="1" applyProtection="1"/>
    <xf numFmtId="0" fontId="37" fillId="0" borderId="0" xfId="0" applyFont="1" applyAlignment="1" applyProtection="1">
      <alignment vertical="top"/>
    </xf>
    <xf numFmtId="0" fontId="38" fillId="0" borderId="0" xfId="0" applyFont="1" applyAlignment="1" applyProtection="1">
      <alignment vertical="top"/>
    </xf>
    <xf numFmtId="0" fontId="35" fillId="0" borderId="0" xfId="0" applyFont="1" applyAlignment="1" applyProtection="1">
      <alignment horizontal="right" vertical="top"/>
    </xf>
    <xf numFmtId="0" fontId="35" fillId="0" borderId="0" xfId="0" applyFont="1" applyAlignment="1" applyProtection="1">
      <alignment vertical="top" wrapText="1"/>
    </xf>
    <xf numFmtId="0" fontId="1" fillId="0" borderId="0" xfId="0" applyFont="1" applyAlignment="1" applyProtection="1">
      <alignment horizontal="left"/>
    </xf>
    <xf numFmtId="0" fontId="2" fillId="0" borderId="0" xfId="0" applyFont="1" applyProtection="1"/>
    <xf numFmtId="0" fontId="2" fillId="0" borderId="0" xfId="0" applyFont="1" applyAlignment="1" applyProtection="1">
      <alignment horizontal="center"/>
    </xf>
    <xf numFmtId="0" fontId="2" fillId="0" borderId="0" xfId="0" applyFont="1" applyAlignment="1" applyProtection="1">
      <alignment horizontal="right" vertical="center"/>
    </xf>
    <xf numFmtId="0" fontId="10" fillId="0" borderId="0" xfId="0" applyFont="1" applyProtection="1"/>
    <xf numFmtId="0" fontId="0" fillId="0" borderId="0" xfId="0" applyAlignment="1" applyProtection="1">
      <alignment horizontal="right" vertical="center"/>
    </xf>
    <xf numFmtId="167" fontId="0" fillId="0" borderId="4" xfId="0" applyNumberFormat="1" applyBorder="1" applyAlignment="1" applyProtection="1">
      <alignment horizontal="center" vertical="center"/>
    </xf>
    <xf numFmtId="167" fontId="0" fillId="0" borderId="5" xfId="0" applyNumberFormat="1" applyBorder="1" applyAlignment="1" applyProtection="1">
      <alignment horizontal="center" vertical="center"/>
    </xf>
    <xf numFmtId="165" fontId="0" fillId="7" borderId="6" xfId="0" applyNumberFormat="1" applyFill="1" applyBorder="1" applyAlignment="1" applyProtection="1">
      <alignment horizontal="left" vertical="center" wrapText="1" indent="1"/>
    </xf>
    <xf numFmtId="165" fontId="0" fillId="7" borderId="1" xfId="0" applyNumberFormat="1" applyFill="1" applyBorder="1" applyAlignment="1" applyProtection="1">
      <alignment horizontal="left" vertical="center" wrapText="1" indent="1"/>
    </xf>
    <xf numFmtId="165" fontId="0" fillId="7" borderId="7" xfId="0" applyNumberFormat="1" applyFill="1" applyBorder="1" applyAlignment="1" applyProtection="1">
      <alignment horizontal="left" vertical="center" wrapText="1" indent="1"/>
    </xf>
    <xf numFmtId="0" fontId="0" fillId="0" borderId="0" xfId="0" applyAlignment="1" applyProtection="1">
      <alignment horizontal="center"/>
    </xf>
    <xf numFmtId="166" fontId="11" fillId="7" borderId="8" xfId="0" applyNumberFormat="1" applyFont="1" applyFill="1" applyBorder="1" applyAlignment="1" applyProtection="1">
      <alignment horizontal="center" vertical="center"/>
    </xf>
    <xf numFmtId="166" fontId="11" fillId="7" borderId="0" xfId="0" applyNumberFormat="1" applyFont="1" applyFill="1" applyAlignment="1" applyProtection="1">
      <alignment horizontal="center" vertical="center"/>
    </xf>
    <xf numFmtId="166" fontId="11" fillId="7" borderId="9" xfId="0" applyNumberFormat="1" applyFont="1" applyFill="1" applyBorder="1" applyAlignment="1" applyProtection="1">
      <alignment horizontal="center" vertical="center"/>
    </xf>
    <xf numFmtId="166" fontId="11" fillId="14" borderId="0" xfId="0" applyNumberFormat="1" applyFont="1" applyFill="1" applyAlignment="1" applyProtection="1">
      <alignment horizontal="center" vertical="center"/>
    </xf>
    <xf numFmtId="166" fontId="11" fillId="14" borderId="8" xfId="0" applyNumberFormat="1" applyFont="1" applyFill="1" applyBorder="1" applyAlignment="1" applyProtection="1">
      <alignment horizontal="center" vertical="center"/>
    </xf>
    <xf numFmtId="0" fontId="18" fillId="0" borderId="0" xfId="0" applyFont="1" applyAlignment="1" applyProtection="1">
      <alignment horizontal="right" vertical="center"/>
    </xf>
    <xf numFmtId="0" fontId="7" fillId="13" borderId="1" xfId="0" applyFont="1" applyFill="1" applyBorder="1" applyAlignment="1" applyProtection="1">
      <alignment horizontal="left" vertical="center" indent="1"/>
    </xf>
    <xf numFmtId="0" fontId="7" fillId="13" borderId="1" xfId="0" applyFont="1" applyFill="1" applyBorder="1" applyAlignment="1" applyProtection="1">
      <alignment horizontal="center" vertical="center" wrapText="1"/>
    </xf>
    <xf numFmtId="0" fontId="14" fillId="12" borderId="10" xfId="0" applyFont="1" applyFill="1" applyBorder="1" applyAlignment="1" applyProtection="1">
      <alignment horizontal="center" vertical="center" shrinkToFit="1"/>
    </xf>
    <xf numFmtId="0" fontId="0" fillId="0" borderId="0" xfId="0" applyAlignment="1" applyProtection="1">
      <alignment vertical="center"/>
    </xf>
    <xf numFmtId="0" fontId="8" fillId="2" borderId="2" xfId="0" applyFont="1" applyFill="1" applyBorder="1" applyAlignment="1" applyProtection="1">
      <alignment horizontal="left" vertical="center" indent="1"/>
    </xf>
    <xf numFmtId="0" fontId="8" fillId="2" borderId="2" xfId="0" applyFont="1" applyFill="1" applyBorder="1" applyAlignment="1" applyProtection="1">
      <alignment horizontal="center" vertical="center"/>
    </xf>
    <xf numFmtId="9" fontId="5" fillId="2" borderId="2" xfId="2" applyFont="1" applyFill="1" applyBorder="1" applyAlignment="1" applyProtection="1">
      <alignment horizontal="center" vertical="center"/>
    </xf>
    <xf numFmtId="164" fontId="4" fillId="2" borderId="2" xfId="0" applyNumberFormat="1" applyFont="1" applyFill="1" applyBorder="1" applyAlignment="1" applyProtection="1">
      <alignment horizontal="left" vertical="center"/>
    </xf>
    <xf numFmtId="164" fontId="5" fillId="2" borderId="2" xfId="0" applyNumberFormat="1"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0" fillId="2" borderId="11" xfId="0" applyFill="1" applyBorder="1" applyAlignment="1" applyProtection="1">
      <alignment vertical="center"/>
    </xf>
    <xf numFmtId="0" fontId="16" fillId="0" borderId="0" xfId="0" applyFont="1" applyProtection="1"/>
    <xf numFmtId="14" fontId="25" fillId="0" borderId="0" xfId="0" applyNumberFormat="1" applyFont="1" applyAlignment="1" applyProtection="1">
      <alignment horizontal="center"/>
    </xf>
    <xf numFmtId="0" fontId="27" fillId="0" borderId="0" xfId="0" applyFont="1" applyProtection="1"/>
    <xf numFmtId="0" fontId="15" fillId="0" borderId="0" xfId="0" applyFont="1" applyAlignment="1" applyProtection="1">
      <alignment horizontal="left"/>
      <protection locked="0"/>
    </xf>
    <xf numFmtId="0" fontId="10" fillId="0" borderId="0" xfId="0" applyFont="1" applyProtection="1">
      <protection locked="0"/>
    </xf>
    <xf numFmtId="167" fontId="0" fillId="0" borderId="4" xfId="0" applyNumberFormat="1" applyBorder="1" applyAlignment="1" applyProtection="1">
      <alignment horizontal="center" vertical="center"/>
      <protection locked="0"/>
    </xf>
    <xf numFmtId="167" fontId="0" fillId="0" borderId="5" xfId="0" applyNumberFormat="1"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0" xfId="0" applyProtection="1">
      <protection locked="0"/>
    </xf>
    <xf numFmtId="0" fontId="0" fillId="15" borderId="0" xfId="0" applyFill="1" applyProtection="1">
      <protection locked="0"/>
    </xf>
    <xf numFmtId="0" fontId="18" fillId="0" borderId="0" xfId="0" applyFont="1" applyAlignment="1" applyProtection="1">
      <alignment horizontal="right" vertical="center"/>
      <protection locked="0"/>
    </xf>
    <xf numFmtId="0" fontId="0" fillId="0" borderId="2" xfId="0" applyBorder="1" applyAlignment="1" applyProtection="1">
      <alignment horizontal="left" vertical="center" indent="1"/>
      <protection locked="0"/>
    </xf>
    <xf numFmtId="0" fontId="0" fillId="0" borderId="2" xfId="0" applyBorder="1" applyAlignment="1" applyProtection="1">
      <alignment horizontal="center" vertical="center"/>
      <protection locked="0"/>
    </xf>
    <xf numFmtId="9" fontId="5" fillId="0" borderId="2" xfId="2" applyFont="1" applyFill="1" applyBorder="1" applyAlignment="1" applyProtection="1">
      <alignment horizontal="center" vertical="center"/>
      <protection locked="0"/>
    </xf>
    <xf numFmtId="164" fontId="0" fillId="0" borderId="2" xfId="0" applyNumberFormat="1" applyBorder="1" applyAlignment="1" applyProtection="1">
      <alignment horizontal="center" vertical="center"/>
      <protection locked="0"/>
    </xf>
    <xf numFmtId="164" fontId="5" fillId="0" borderId="2" xfId="0" applyNumberFormat="1" applyFont="1" applyBorder="1" applyAlignment="1" applyProtection="1">
      <alignment horizontal="center" vertical="center"/>
      <protection locked="0"/>
    </xf>
    <xf numFmtId="0" fontId="5" fillId="0" borderId="2" xfId="0" applyFont="1" applyBorder="1" applyAlignment="1" applyProtection="1">
      <alignment horizontal="center" vertical="center"/>
      <protection locked="0"/>
    </xf>
    <xf numFmtId="0" fontId="0" fillId="0" borderId="11" xfId="0" applyBorder="1" applyAlignment="1" applyProtection="1">
      <alignment vertical="center"/>
      <protection locked="0"/>
    </xf>
    <xf numFmtId="0" fontId="0" fillId="0" borderId="0" xfId="0" applyAlignment="1" applyProtection="1">
      <alignment vertical="center"/>
      <protection locked="0"/>
    </xf>
    <xf numFmtId="0" fontId="6" fillId="8" borderId="2" xfId="0" applyFont="1" applyFill="1" applyBorder="1" applyAlignment="1" applyProtection="1">
      <alignment horizontal="left" vertical="center" indent="1"/>
      <protection locked="0"/>
    </xf>
    <xf numFmtId="0" fontId="6" fillId="8" borderId="2" xfId="0" applyFont="1" applyFill="1" applyBorder="1" applyAlignment="1" applyProtection="1">
      <alignment horizontal="center" vertical="center"/>
      <protection locked="0"/>
    </xf>
    <xf numFmtId="9" fontId="5" fillId="8" borderId="2" xfId="2" applyFont="1" applyFill="1" applyBorder="1" applyAlignment="1" applyProtection="1">
      <alignment horizontal="center" vertical="center"/>
      <protection locked="0"/>
    </xf>
    <xf numFmtId="164" fontId="0" fillId="8" borderId="2" xfId="0" applyNumberFormat="1" applyFill="1" applyBorder="1" applyAlignment="1" applyProtection="1">
      <alignment horizontal="center" vertical="center"/>
      <protection locked="0"/>
    </xf>
    <xf numFmtId="164" fontId="5" fillId="8" borderId="2" xfId="0" applyNumberFormat="1" applyFont="1" applyFill="1" applyBorder="1" applyAlignment="1" applyProtection="1">
      <alignment horizontal="center" vertical="center"/>
      <protection locked="0"/>
    </xf>
    <xf numFmtId="0" fontId="0" fillId="3" borderId="2" xfId="0" applyFill="1" applyBorder="1" applyAlignment="1" applyProtection="1">
      <alignment horizontal="left" vertical="center" indent="2"/>
      <protection locked="0"/>
    </xf>
    <xf numFmtId="0" fontId="0" fillId="3" borderId="2" xfId="0" applyFill="1" applyBorder="1" applyAlignment="1" applyProtection="1">
      <alignment horizontal="center" vertical="center"/>
      <protection locked="0"/>
    </xf>
    <xf numFmtId="9" fontId="5" fillId="3" borderId="2" xfId="2" applyFont="1" applyFill="1" applyBorder="1" applyAlignment="1" applyProtection="1">
      <alignment horizontal="center" vertical="center"/>
      <protection locked="0"/>
    </xf>
    <xf numFmtId="167" fontId="0" fillId="3" borderId="2" xfId="0" applyNumberFormat="1" applyFill="1" applyBorder="1" applyAlignment="1" applyProtection="1">
      <alignment horizontal="center" vertical="center"/>
      <protection locked="0"/>
    </xf>
    <xf numFmtId="167" fontId="5" fillId="3" borderId="2" xfId="0" applyNumberFormat="1" applyFont="1" applyFill="1" applyBorder="1" applyAlignment="1" applyProtection="1">
      <alignment horizontal="center" vertical="center"/>
      <protection locked="0"/>
    </xf>
    <xf numFmtId="0" fontId="0" fillId="0" borderId="11" xfId="0" applyBorder="1" applyAlignment="1" applyProtection="1">
      <alignment horizontal="right" vertical="center"/>
      <protection locked="0"/>
    </xf>
    <xf numFmtId="0" fontId="6" fillId="6" borderId="2" xfId="0" applyFont="1" applyFill="1" applyBorder="1" applyAlignment="1" applyProtection="1">
      <alignment horizontal="left" vertical="center" indent="1"/>
      <protection locked="0"/>
    </xf>
    <xf numFmtId="0" fontId="6" fillId="6" borderId="2" xfId="0" applyFont="1" applyFill="1" applyBorder="1" applyAlignment="1" applyProtection="1">
      <alignment horizontal="center" vertical="center"/>
      <protection locked="0"/>
    </xf>
    <xf numFmtId="9" fontId="5" fillId="6" borderId="2" xfId="2" applyFont="1" applyFill="1" applyBorder="1" applyAlignment="1" applyProtection="1">
      <alignment horizontal="center" vertical="center"/>
      <protection locked="0"/>
    </xf>
    <xf numFmtId="164" fontId="0" fillId="6" borderId="2" xfId="0" applyNumberFormat="1" applyFill="1" applyBorder="1" applyAlignment="1" applyProtection="1">
      <alignment horizontal="center" vertical="center"/>
      <protection locked="0"/>
    </xf>
    <xf numFmtId="164" fontId="5" fillId="6" borderId="2" xfId="0" applyNumberFormat="1" applyFont="1" applyFill="1" applyBorder="1" applyAlignment="1" applyProtection="1">
      <alignment horizontal="center" vertical="center"/>
      <protection locked="0"/>
    </xf>
    <xf numFmtId="0" fontId="0" fillId="11" borderId="2" xfId="0" applyFill="1" applyBorder="1" applyAlignment="1" applyProtection="1">
      <alignment horizontal="left" vertical="center" indent="2"/>
      <protection locked="0"/>
    </xf>
    <xf numFmtId="0" fontId="0" fillId="11" borderId="2" xfId="0"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167" fontId="0" fillId="11" borderId="2" xfId="0" applyNumberFormat="1" applyFill="1" applyBorder="1" applyAlignment="1" applyProtection="1">
      <alignment horizontal="center" vertical="center"/>
      <protection locked="0"/>
    </xf>
    <xf numFmtId="0" fontId="6" fillId="9" borderId="2" xfId="0" applyFont="1" applyFill="1" applyBorder="1" applyAlignment="1" applyProtection="1">
      <alignment horizontal="left" vertical="center" indent="1"/>
      <protection locked="0"/>
    </xf>
    <xf numFmtId="0" fontId="6" fillId="9" borderId="2" xfId="0" applyFont="1" applyFill="1" applyBorder="1" applyAlignment="1" applyProtection="1">
      <alignment horizontal="center" vertical="center"/>
      <protection locked="0"/>
    </xf>
    <xf numFmtId="9" fontId="5" fillId="9" borderId="2" xfId="2" applyFont="1" applyFill="1" applyBorder="1" applyAlignment="1" applyProtection="1">
      <alignment horizontal="center" vertical="center"/>
      <protection locked="0"/>
    </xf>
    <xf numFmtId="164" fontId="0" fillId="9" borderId="2" xfId="0" applyNumberFormat="1" applyFill="1" applyBorder="1" applyAlignment="1" applyProtection="1">
      <alignment horizontal="center" vertical="center"/>
      <protection locked="0"/>
    </xf>
    <xf numFmtId="164" fontId="5" fillId="9" borderId="2" xfId="0" applyNumberFormat="1" applyFont="1" applyFill="1" applyBorder="1" applyAlignment="1" applyProtection="1">
      <alignment horizontal="center" vertical="center"/>
      <protection locked="0"/>
    </xf>
    <xf numFmtId="0" fontId="0" fillId="4" borderId="2" xfId="0" applyFill="1" applyBorder="1" applyAlignment="1" applyProtection="1">
      <alignment horizontal="left" vertical="center" indent="2"/>
      <protection locked="0"/>
    </xf>
    <xf numFmtId="0" fontId="0" fillId="4" borderId="2" xfId="0" applyFill="1" applyBorder="1" applyAlignment="1" applyProtection="1">
      <alignment horizontal="center" vertical="center"/>
      <protection locked="0"/>
    </xf>
    <xf numFmtId="9" fontId="5" fillId="4" borderId="2" xfId="2" applyFont="1" applyFill="1" applyBorder="1" applyAlignment="1" applyProtection="1">
      <alignment horizontal="center" vertical="center"/>
      <protection locked="0"/>
    </xf>
    <xf numFmtId="167" fontId="0" fillId="4" borderId="2" xfId="0" applyNumberFormat="1" applyFill="1" applyBorder="1" applyAlignment="1" applyProtection="1">
      <alignment horizontal="center" vertical="center"/>
      <protection locked="0"/>
    </xf>
    <xf numFmtId="167" fontId="5" fillId="4" borderId="2" xfId="0" applyNumberFormat="1" applyFont="1" applyFill="1" applyBorder="1" applyAlignment="1" applyProtection="1">
      <alignment horizontal="center" vertical="center"/>
      <protection locked="0"/>
    </xf>
    <xf numFmtId="0" fontId="6" fillId="3" borderId="2" xfId="0" applyFont="1" applyFill="1" applyBorder="1" applyAlignment="1" applyProtection="1">
      <alignment horizontal="left" vertical="center" indent="1"/>
      <protection locked="0"/>
    </xf>
    <xf numFmtId="0" fontId="6" fillId="3" borderId="2" xfId="0" applyFont="1" applyFill="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4" fontId="5" fillId="3" borderId="2" xfId="0" applyNumberFormat="1" applyFont="1" applyFill="1" applyBorder="1" applyAlignment="1" applyProtection="1">
      <alignment horizontal="center" vertical="center"/>
      <protection locked="0"/>
    </xf>
    <xf numFmtId="0" fontId="6" fillId="5" borderId="2" xfId="0" applyFont="1" applyFill="1" applyBorder="1" applyAlignment="1" applyProtection="1">
      <alignment horizontal="left" vertical="center" indent="1"/>
      <protection locked="0"/>
    </xf>
    <xf numFmtId="0" fontId="6" fillId="5" borderId="2" xfId="0" applyFont="1" applyFill="1" applyBorder="1" applyAlignment="1" applyProtection="1">
      <alignment horizontal="center" vertical="center"/>
      <protection locked="0"/>
    </xf>
    <xf numFmtId="9" fontId="5" fillId="5" borderId="2" xfId="2" applyFont="1" applyFill="1" applyBorder="1" applyAlignment="1" applyProtection="1">
      <alignment horizontal="center" vertical="center"/>
      <protection locked="0"/>
    </xf>
    <xf numFmtId="164" fontId="0" fillId="5" borderId="2" xfId="0" applyNumberFormat="1" applyFill="1" applyBorder="1" applyAlignment="1" applyProtection="1">
      <alignment horizontal="center" vertical="center"/>
      <protection locked="0"/>
    </xf>
    <xf numFmtId="164" fontId="5" fillId="5" borderId="2" xfId="0" applyNumberFormat="1" applyFont="1" applyFill="1" applyBorder="1" applyAlignment="1" applyProtection="1">
      <alignment horizontal="center" vertical="center"/>
      <protection locked="0"/>
    </xf>
    <xf numFmtId="0" fontId="0" fillId="10" borderId="2" xfId="0" applyFill="1" applyBorder="1" applyAlignment="1" applyProtection="1">
      <alignment horizontal="left" vertical="center" indent="2"/>
      <protection locked="0"/>
    </xf>
    <xf numFmtId="0" fontId="0" fillId="10" borderId="2" xfId="0" applyFill="1" applyBorder="1" applyAlignment="1" applyProtection="1">
      <alignment horizontal="center" vertical="center"/>
      <protection locked="0"/>
    </xf>
    <xf numFmtId="9" fontId="5" fillId="10" borderId="2" xfId="2" applyFont="1" applyFill="1" applyBorder="1" applyAlignment="1" applyProtection="1">
      <alignment horizontal="center" vertical="center"/>
      <protection locked="0"/>
    </xf>
    <xf numFmtId="167" fontId="0" fillId="10" borderId="2" xfId="0" applyNumberFormat="1" applyFill="1" applyBorder="1" applyAlignment="1" applyProtection="1">
      <alignment horizontal="center" vertical="center"/>
      <protection locked="0"/>
    </xf>
    <xf numFmtId="167" fontId="5" fillId="10" borderId="2" xfId="0" applyNumberFormat="1" applyFont="1" applyFill="1" applyBorder="1" applyAlignment="1" applyProtection="1">
      <alignment horizontal="center" vertical="center"/>
      <protection locked="0"/>
    </xf>
    <xf numFmtId="166" fontId="11" fillId="17" borderId="8" xfId="0" applyNumberFormat="1" applyFont="1" applyFill="1" applyBorder="1" applyAlignment="1" applyProtection="1">
      <alignment horizontal="center" vertical="center"/>
    </xf>
    <xf numFmtId="166" fontId="11" fillId="17" borderId="0" xfId="0" applyNumberFormat="1" applyFont="1" applyFill="1" applyAlignment="1" applyProtection="1">
      <alignment horizontal="center" vertical="center"/>
    </xf>
    <xf numFmtId="166" fontId="11" fillId="17" borderId="9" xfId="0" applyNumberFormat="1" applyFont="1" applyFill="1" applyBorder="1" applyAlignment="1" applyProtection="1">
      <alignment horizontal="center" vertical="center"/>
    </xf>
    <xf numFmtId="0" fontId="30" fillId="0" borderId="0" xfId="0" applyFont="1" applyProtection="1"/>
    <xf numFmtId="0" fontId="31" fillId="0" borderId="0" xfId="0" applyFont="1" applyProtection="1"/>
    <xf numFmtId="0" fontId="32" fillId="16" borderId="0" xfId="0" applyFont="1" applyFill="1" applyAlignment="1" applyProtection="1">
      <alignment vertical="center"/>
    </xf>
    <xf numFmtId="0" fontId="32" fillId="16" borderId="0" xfId="0" applyFont="1" applyFill="1" applyAlignment="1" applyProtection="1">
      <alignment horizontal="center" vertical="center"/>
    </xf>
    <xf numFmtId="0" fontId="0" fillId="0" borderId="12" xfId="0" applyBorder="1" applyAlignment="1" applyProtection="1">
      <alignment vertical="center"/>
    </xf>
    <xf numFmtId="165" fontId="0" fillId="0" borderId="12" xfId="0" applyNumberFormat="1" applyBorder="1" applyAlignment="1" applyProtection="1">
      <alignment horizontal="center" vertical="center"/>
    </xf>
    <xf numFmtId="9" fontId="0" fillId="0" borderId="12" xfId="0" applyNumberFormat="1" applyBorder="1" applyAlignment="1" applyProtection="1">
      <alignment horizontal="center" vertical="center"/>
    </xf>
    <xf numFmtId="0" fontId="0" fillId="0" borderId="12" xfId="0" applyBorder="1" applyAlignment="1" applyProtection="1">
      <alignment horizontal="center" vertical="center"/>
    </xf>
    <xf numFmtId="165" fontId="0" fillId="0" borderId="0" xfId="0" applyNumberFormat="1" applyAlignment="1" applyProtection="1">
      <alignment horizontal="center"/>
    </xf>
    <xf numFmtId="9" fontId="0" fillId="0" borderId="0" xfId="0" applyNumberFormat="1" applyAlignment="1" applyProtection="1">
      <alignment horizontal="center"/>
    </xf>
    <xf numFmtId="0" fontId="0" fillId="0" borderId="12" xfId="0" applyBorder="1" applyAlignment="1" applyProtection="1">
      <alignment vertical="center"/>
      <protection locked="0"/>
    </xf>
    <xf numFmtId="0" fontId="33" fillId="0" borderId="12" xfId="0" applyFont="1" applyBorder="1" applyAlignment="1" applyProtection="1">
      <alignment vertical="center"/>
      <protection locked="0"/>
    </xf>
    <xf numFmtId="0" fontId="33" fillId="0" borderId="0" xfId="0" applyFont="1" applyProtection="1">
      <protection locked="0"/>
    </xf>
  </cellXfs>
  <cellStyles count="3">
    <cellStyle name="Hyperlink" xfId="1" builtinId="8" customBuiltin="1"/>
    <cellStyle name="Normal" xfId="0" builtinId="0"/>
    <cellStyle name="Percent" xfId="2" builtinId="5"/>
  </cellStyles>
  <dxfs count="20">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808080"/>
      </font>
      <fill>
        <patternFill>
          <bgColor rgb="FFF2F2F2"/>
        </patternFill>
      </fill>
    </dxf>
    <dxf>
      <font>
        <color rgb="FF595959"/>
      </font>
      <fill>
        <patternFill>
          <bgColor rgb="FFF2F2F2"/>
        </patternFill>
      </fill>
    </dxf>
    <dxf>
      <font>
        <color rgb="FF1F4E79"/>
      </font>
      <fill>
        <patternFill>
          <bgColor rgb="FFDDEBF7"/>
        </patternFill>
      </fill>
    </dxf>
    <dxf>
      <font>
        <color rgb="FF006100"/>
      </font>
      <fill>
        <patternFill>
          <bgColor rgb="FFC6EFCE"/>
        </patternFill>
      </fill>
    </dxf>
    <dxf>
      <font>
        <color rgb="FF9C0006"/>
      </font>
      <fill>
        <patternFill>
          <bgColor rgb="FFFFC7CE"/>
        </patternFill>
      </fill>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ToDoList" pivot="0" count="9" xr9:uid="{00000000-0011-0000-FFFF-FFFF00000000}">
      <tableStyleElement type="wholeTable" dxfId="19"/>
      <tableStyleElement type="headerRow" dxfId="18"/>
      <tableStyleElement type="totalRow" dxfId="17"/>
      <tableStyleElement type="firstColumn" dxfId="16"/>
      <tableStyleElement type="lastColumn" dxfId="15"/>
      <tableStyleElement type="firstRowStripe" dxfId="14"/>
      <tableStyleElement type="secondRowStripe" dxfId="13"/>
      <tableStyleElement type="firstColumnStripe" dxfId="12"/>
      <tableStyleElement type="secondColumnStripe" dxfId="11"/>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vertex42.com/ExcelTemplates/simple-gantt-chart.html?utm_source=v42&amp;utm_medium=file&amp;utm_campaign=templates&amp;utm_term=simple-gantt-chart_ms&amp;utm_content=logo"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1381125</xdr:colOff>
          <xdr:row>0</xdr:row>
          <xdr:rowOff>38100</xdr:rowOff>
        </xdr:from>
        <xdr:to>
          <xdr:col>5</xdr:col>
          <xdr:colOff>923925</xdr:colOff>
          <xdr:row>0</xdr:row>
          <xdr:rowOff>342900</xdr:rowOff>
        </xdr:to>
        <xdr:sp macro="" textlink="">
          <xdr:nvSpPr>
            <xdr:cNvPr id="9217" name="btnNewProject"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New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47625</xdr:colOff>
          <xdr:row>0</xdr:row>
          <xdr:rowOff>38100</xdr:rowOff>
        </xdr:from>
        <xdr:to>
          <xdr:col>8</xdr:col>
          <xdr:colOff>190500</xdr:colOff>
          <xdr:row>0</xdr:row>
          <xdr:rowOff>342900</xdr:rowOff>
        </xdr:to>
        <xdr:sp macro="" textlink="">
          <xdr:nvSpPr>
            <xdr:cNvPr id="9218" name="btnArchive"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Archive / Restore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6147" name="btnAddSection"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6148" name="btnAddTask"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6149" name="btnDeleteRows"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14</xdr:col>
          <xdr:colOff>152400</xdr:colOff>
          <xdr:row>0</xdr:row>
          <xdr:rowOff>38100</xdr:rowOff>
        </xdr:from>
        <xdr:to>
          <xdr:col>23</xdr:col>
          <xdr:colOff>47625</xdr:colOff>
          <xdr:row>0</xdr:row>
          <xdr:rowOff>323850</xdr:rowOff>
        </xdr:to>
        <xdr:sp macro="" textlink="">
          <xdr:nvSpPr>
            <xdr:cNvPr id="8194" name="btnAddSection"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Section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152400</xdr:colOff>
          <xdr:row>0</xdr:row>
          <xdr:rowOff>38100</xdr:rowOff>
        </xdr:from>
        <xdr:to>
          <xdr:col>32</xdr:col>
          <xdr:colOff>47625</xdr:colOff>
          <xdr:row>0</xdr:row>
          <xdr:rowOff>323850</xdr:rowOff>
        </xdr:to>
        <xdr:sp macro="" textlink="">
          <xdr:nvSpPr>
            <xdr:cNvPr id="8195" name="btnAddTask"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 Add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32</xdr:col>
          <xdr:colOff>152400</xdr:colOff>
          <xdr:row>0</xdr:row>
          <xdr:rowOff>38100</xdr:rowOff>
        </xdr:from>
        <xdr:to>
          <xdr:col>41</xdr:col>
          <xdr:colOff>47625</xdr:colOff>
          <xdr:row>0</xdr:row>
          <xdr:rowOff>323850</xdr:rowOff>
        </xdr:to>
        <xdr:sp macro="" textlink="">
          <xdr:nvSpPr>
            <xdr:cNvPr id="8196" name="btnDeleteRows" hidden="1">
              <a:extLst>
                <a:ext uri="{63B3BB69-23CF-44E3-9099-C40C66FF867C}">
                  <a14:compatExt spid="_x0000_s8196"/>
                </a:ext>
                <a:ext uri="{FF2B5EF4-FFF2-40B4-BE49-F238E27FC236}">
                  <a16:creationId xmlns:a16="http://schemas.microsoft.com/office/drawing/2014/main" id="{00000000-0008-0000-0300-000004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95250</xdr:rowOff>
    </xdr:from>
    <xdr:to>
      <xdr:col>1</xdr:col>
      <xdr:colOff>1905000</xdr:colOff>
      <xdr:row>0</xdr:row>
      <xdr:rowOff>523875</xdr:rowOff>
    </xdr:to>
    <xdr:pic>
      <xdr:nvPicPr>
        <xdr:cNvPr id="2" name="Picture 1">
          <a:hlinkClick xmlns:r="http://schemas.openxmlformats.org/officeDocument/2006/relationships" r:id="rId1"/>
          <a:extLst>
            <a:ext uri="{FF2B5EF4-FFF2-40B4-BE49-F238E27FC236}">
              <a16:creationId xmlns:a16="http://schemas.microsoft.com/office/drawing/2014/main" id="{F8638EF3-2DAE-40BC-A45A-2B8C536FAB0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0500" y="95250"/>
          <a:ext cx="1905000" cy="428625"/>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https://www.vertex42.com/ExcelTemplates/simple-gantt-chart.html?utm_source=v42&amp;utm_medium=file&amp;utm_campaign=templates&amp;utm_term=simple-gantt-chart_ms&amp;utm_content=url" TargetMode="External"/><Relationship Id="rId2" Type="http://schemas.openxmlformats.org/officeDocument/2006/relationships/hyperlink" Target="https://www.vertex42.com/ExcelTemplates/simple-gantt-chart.html?utm_source=v42&amp;utm_medium=file&amp;utm_campaign=templates&amp;utm_term=simple-gantt-chart_ms&amp;utm_content=help" TargetMode="External"/><Relationship Id="rId1" Type="http://schemas.openxmlformats.org/officeDocument/2006/relationships/hyperlink" Target="https://www.vertex42.com/ExcelTemplates/excel-project-management.html?utm_source=v42&amp;utm_medium=file&amp;utm_campaign=templates&amp;utm_term=simple-gantt-chart_ms&amp;utm_content=text" TargetMode="External"/><Relationship Id="rId6" Type="http://schemas.openxmlformats.org/officeDocument/2006/relationships/drawing" Target="../drawings/drawing4.xml"/><Relationship Id="rId5" Type="http://schemas.openxmlformats.org/officeDocument/2006/relationships/printerSettings" Target="../printerSettings/printerSettings3.bin"/><Relationship Id="rId4" Type="http://schemas.openxmlformats.org/officeDocument/2006/relationships/hyperlink" Target="https://www.vertex42.com/ExcelTemplates/simple-gantt-chart.html?utm_source=v42&amp;utm_medium=file&amp;utm_campaign=templates&amp;utm_term=simple-gantt-chart_ms&amp;utm_content=titl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2AC89-FA5E-48A9-891A-E010E199E01E}">
  <sheetPr codeName="Sheet2"/>
  <dimension ref="B1:K2000"/>
  <sheetViews>
    <sheetView showGridLines="0" tabSelected="1" workbookViewId="0">
      <pane ySplit="5" topLeftCell="A6" activePane="bottomLeft" state="frozen"/>
      <selection pane="bottomLeft" activeCell="B6" sqref="B6"/>
    </sheetView>
  </sheetViews>
  <sheetFormatPr defaultRowHeight="15" x14ac:dyDescent="0.25"/>
  <cols>
    <col min="1" max="1" width="2.7109375" style="21" customWidth="1"/>
    <col min="2" max="2" width="42.7109375" style="21" customWidth="1"/>
    <col min="3" max="3" width="24.7109375" style="21" customWidth="1"/>
    <col min="4" max="4" width="20.7109375" style="21" customWidth="1"/>
    <col min="5" max="6" width="14.7109375" style="21" customWidth="1"/>
    <col min="7" max="7" width="11.7109375" style="21" customWidth="1"/>
    <col min="8" max="8" width="14.7109375" style="21" customWidth="1"/>
    <col min="9" max="9" width="10.7109375" style="21" customWidth="1"/>
    <col min="10" max="10" width="28.7109375" style="21" customWidth="1"/>
    <col min="11" max="11" width="30.7109375" style="21" customWidth="1"/>
    <col min="12" max="16384" width="9.140625" style="21"/>
  </cols>
  <sheetData>
    <row r="1" spans="2:11" ht="30" customHeight="1" x14ac:dyDescent="0.4">
      <c r="B1" s="124" t="s">
        <v>57</v>
      </c>
    </row>
    <row r="2" spans="2:11" x14ac:dyDescent="0.25">
      <c r="B2" s="125" t="s">
        <v>58</v>
      </c>
    </row>
    <row r="3" spans="2:11" x14ac:dyDescent="0.25">
      <c r="B3" s="18" t="str">
        <f>HYPERLINK("#'Instructions'!A1","How to use this workbook ►")</f>
        <v>How to use this workbook ►</v>
      </c>
    </row>
    <row r="5" spans="2:11" ht="24" customHeight="1" x14ac:dyDescent="0.25">
      <c r="B5" s="126" t="s">
        <v>59</v>
      </c>
      <c r="C5" s="126" t="s">
        <v>60</v>
      </c>
      <c r="D5" s="126" t="s">
        <v>54</v>
      </c>
      <c r="E5" s="127" t="s">
        <v>61</v>
      </c>
      <c r="F5" s="127" t="s">
        <v>62</v>
      </c>
      <c r="G5" s="127" t="s">
        <v>63</v>
      </c>
      <c r="H5" s="127" t="s">
        <v>64</v>
      </c>
      <c r="I5" s="127" t="s">
        <v>65</v>
      </c>
      <c r="J5" s="126" t="s">
        <v>66</v>
      </c>
      <c r="K5" s="126" t="s">
        <v>98</v>
      </c>
    </row>
    <row r="6" spans="2:11" ht="21" customHeight="1" x14ac:dyDescent="0.25">
      <c r="B6" s="16" t="str">
        <f>HYPERLINK("#'"&amp;SUBSTITUTE(J6,"'","''")&amp;"'!A1",'Atlantic Packaging'!$B$1)</f>
        <v>Atlantic Packaging Network Install</v>
      </c>
      <c r="C6" s="134" t="s">
        <v>67</v>
      </c>
      <c r="D6" s="128" t="str">
        <f>'Atlantic Packaging'!$B$3&amp;""</f>
        <v>Ryan King</v>
      </c>
      <c r="E6" s="129">
        <f>IF(COUNT('Atlantic Packaging'!$E$7:$E$1000)=0,"",MIN('Atlantic Packaging'!$E$7:$E$1000))</f>
        <v>45313</v>
      </c>
      <c r="F6" s="129">
        <f>IF(COUNT('Atlantic Packaging'!$F$7:$F$1000)=0,"",MAX('Atlantic Packaging'!$F$7:$F$1000))</f>
        <v>45400</v>
      </c>
      <c r="G6" s="130">
        <f>IFERROR(SUMPRODUCT('Atlantic Packaging'!$D$7:$D$1000,'Atlantic Packaging'!$H$7:$H$1000)/SUM('Atlantic Packaging'!$H$7:$H$1000),"")</f>
        <v>7.3619631901840492E-5</v>
      </c>
      <c r="H6" s="131" t="str">
        <f ca="1">IF(I6="Yes","Archived",IF(E6="","Not scheduled",IF(N(G6)&gt;=1,"Complete",IF(TODAY()&lt;E6,"Not started",IF(TODAY()&gt;F6,"Overdue","In progress")))))</f>
        <v>Overdue</v>
      </c>
      <c r="I6" s="131"/>
      <c r="J6" s="135" t="s">
        <v>67</v>
      </c>
      <c r="K6" s="66"/>
    </row>
    <row r="7" spans="2:11" x14ac:dyDescent="0.25">
      <c r="C7" s="66"/>
      <c r="E7" s="132"/>
      <c r="F7" s="132"/>
      <c r="G7" s="133"/>
      <c r="H7" s="40"/>
      <c r="I7" s="40"/>
      <c r="J7" s="136"/>
      <c r="K7" s="66"/>
    </row>
    <row r="8" spans="2:11" x14ac:dyDescent="0.25">
      <c r="C8" s="66"/>
      <c r="E8" s="132"/>
      <c r="F8" s="132"/>
      <c r="G8" s="133"/>
      <c r="H8" s="40"/>
      <c r="I8" s="40"/>
      <c r="J8" s="136"/>
      <c r="K8" s="66"/>
    </row>
    <row r="9" spans="2:11" x14ac:dyDescent="0.25">
      <c r="C9" s="66"/>
      <c r="E9" s="132"/>
      <c r="F9" s="132"/>
      <c r="G9" s="133"/>
      <c r="H9" s="40"/>
      <c r="I9" s="40"/>
      <c r="J9" s="136"/>
      <c r="K9" s="66"/>
    </row>
    <row r="10" spans="2:11" x14ac:dyDescent="0.25">
      <c r="C10" s="66"/>
      <c r="E10" s="132"/>
      <c r="F10" s="132"/>
      <c r="G10" s="133"/>
      <c r="H10" s="40"/>
      <c r="I10" s="40"/>
      <c r="J10" s="136"/>
      <c r="K10" s="66"/>
    </row>
    <row r="11" spans="2:11" x14ac:dyDescent="0.25">
      <c r="C11" s="66"/>
      <c r="E11" s="132"/>
      <c r="F11" s="132"/>
      <c r="G11" s="133"/>
      <c r="H11" s="40"/>
      <c r="I11" s="40"/>
      <c r="J11" s="136"/>
      <c r="K11" s="66"/>
    </row>
    <row r="12" spans="2:11" x14ac:dyDescent="0.25">
      <c r="C12" s="66"/>
      <c r="E12" s="132"/>
      <c r="F12" s="132"/>
      <c r="G12" s="133"/>
      <c r="H12" s="40"/>
      <c r="I12" s="40"/>
      <c r="J12" s="136"/>
      <c r="K12" s="66"/>
    </row>
    <row r="13" spans="2:11" x14ac:dyDescent="0.25">
      <c r="C13" s="66"/>
      <c r="E13" s="132"/>
      <c r="F13" s="132"/>
      <c r="G13" s="133"/>
      <c r="H13" s="40"/>
      <c r="I13" s="40"/>
      <c r="J13" s="136"/>
      <c r="K13" s="66"/>
    </row>
    <row r="14" spans="2:11" x14ac:dyDescent="0.25">
      <c r="C14" s="66"/>
      <c r="E14" s="132"/>
      <c r="F14" s="132"/>
      <c r="G14" s="133"/>
      <c r="H14" s="40"/>
      <c r="I14" s="40"/>
      <c r="J14" s="136"/>
      <c r="K14" s="66"/>
    </row>
    <row r="15" spans="2:11" x14ac:dyDescent="0.25">
      <c r="C15" s="66"/>
      <c r="E15" s="132"/>
      <c r="F15" s="132"/>
      <c r="G15" s="133"/>
      <c r="H15" s="40"/>
      <c r="I15" s="40"/>
      <c r="J15" s="136"/>
      <c r="K15" s="66"/>
    </row>
    <row r="16" spans="2:11" x14ac:dyDescent="0.25">
      <c r="C16" s="66"/>
      <c r="E16" s="132"/>
      <c r="F16" s="132"/>
      <c r="G16" s="133"/>
      <c r="H16" s="40"/>
      <c r="I16" s="40"/>
      <c r="J16" s="136"/>
      <c r="K16" s="66"/>
    </row>
    <row r="17" spans="3:11" x14ac:dyDescent="0.25">
      <c r="C17" s="66"/>
      <c r="E17" s="132"/>
      <c r="F17" s="132"/>
      <c r="G17" s="133"/>
      <c r="H17" s="40"/>
      <c r="I17" s="40"/>
      <c r="J17" s="136"/>
      <c r="K17" s="66"/>
    </row>
    <row r="18" spans="3:11" x14ac:dyDescent="0.25">
      <c r="C18" s="66"/>
      <c r="E18" s="132"/>
      <c r="F18" s="132"/>
      <c r="G18" s="133"/>
      <c r="H18" s="40"/>
      <c r="I18" s="40"/>
      <c r="J18" s="136"/>
      <c r="K18" s="66"/>
    </row>
    <row r="19" spans="3:11" x14ac:dyDescent="0.25">
      <c r="C19" s="66"/>
      <c r="E19" s="132"/>
      <c r="F19" s="132"/>
      <c r="G19" s="133"/>
      <c r="H19" s="40"/>
      <c r="I19" s="40"/>
      <c r="J19" s="136"/>
      <c r="K19" s="66"/>
    </row>
    <row r="20" spans="3:11" x14ac:dyDescent="0.25">
      <c r="C20" s="66"/>
      <c r="E20" s="132"/>
      <c r="F20" s="132"/>
      <c r="G20" s="133"/>
      <c r="H20" s="40"/>
      <c r="I20" s="40"/>
      <c r="J20" s="136"/>
      <c r="K20" s="66"/>
    </row>
    <row r="21" spans="3:11" x14ac:dyDescent="0.25">
      <c r="C21" s="66"/>
      <c r="E21" s="132"/>
      <c r="F21" s="132"/>
      <c r="G21" s="133"/>
      <c r="H21" s="40"/>
      <c r="I21" s="40"/>
      <c r="J21" s="136"/>
      <c r="K21" s="66"/>
    </row>
    <row r="22" spans="3:11" x14ac:dyDescent="0.25">
      <c r="C22" s="66"/>
      <c r="E22" s="132"/>
      <c r="F22" s="132"/>
      <c r="G22" s="133"/>
      <c r="H22" s="40"/>
      <c r="I22" s="40"/>
      <c r="J22" s="136"/>
      <c r="K22" s="66"/>
    </row>
    <row r="23" spans="3:11" x14ac:dyDescent="0.25">
      <c r="C23" s="66"/>
      <c r="E23" s="132"/>
      <c r="F23" s="132"/>
      <c r="G23" s="133"/>
      <c r="H23" s="40"/>
      <c r="I23" s="40"/>
      <c r="J23" s="136"/>
      <c r="K23" s="66"/>
    </row>
    <row r="24" spans="3:11" x14ac:dyDescent="0.25">
      <c r="C24" s="66"/>
      <c r="E24" s="132"/>
      <c r="F24" s="132"/>
      <c r="G24" s="133"/>
      <c r="H24" s="40"/>
      <c r="I24" s="40"/>
      <c r="J24" s="136"/>
      <c r="K24" s="66"/>
    </row>
    <row r="25" spans="3:11" x14ac:dyDescent="0.25">
      <c r="C25" s="66"/>
      <c r="E25" s="132"/>
      <c r="F25" s="132"/>
      <c r="G25" s="133"/>
      <c r="H25" s="40"/>
      <c r="I25" s="40"/>
      <c r="J25" s="136"/>
      <c r="K25" s="66"/>
    </row>
    <row r="26" spans="3:11" x14ac:dyDescent="0.25">
      <c r="C26" s="66"/>
      <c r="E26" s="132"/>
      <c r="F26" s="132"/>
      <c r="G26" s="133"/>
      <c r="H26" s="40"/>
      <c r="I26" s="40"/>
      <c r="J26" s="136"/>
      <c r="K26" s="66"/>
    </row>
    <row r="27" spans="3:11" x14ac:dyDescent="0.25">
      <c r="C27" s="66"/>
      <c r="E27" s="132"/>
      <c r="F27" s="132"/>
      <c r="G27" s="133"/>
      <c r="H27" s="40"/>
      <c r="I27" s="40"/>
      <c r="J27" s="136"/>
      <c r="K27" s="66"/>
    </row>
    <row r="28" spans="3:11" x14ac:dyDescent="0.25">
      <c r="C28" s="66"/>
      <c r="E28" s="132"/>
      <c r="F28" s="132"/>
      <c r="G28" s="133"/>
      <c r="H28" s="40"/>
      <c r="I28" s="40"/>
      <c r="J28" s="136"/>
      <c r="K28" s="66"/>
    </row>
    <row r="29" spans="3:11" x14ac:dyDescent="0.25">
      <c r="C29" s="66"/>
      <c r="E29" s="132"/>
      <c r="F29" s="132"/>
      <c r="G29" s="133"/>
      <c r="H29" s="40"/>
      <c r="I29" s="40"/>
      <c r="J29" s="136"/>
      <c r="K29" s="66"/>
    </row>
    <row r="30" spans="3:11" x14ac:dyDescent="0.25">
      <c r="C30" s="66"/>
      <c r="E30" s="132"/>
      <c r="F30" s="132"/>
      <c r="G30" s="133"/>
      <c r="H30" s="40"/>
      <c r="I30" s="40"/>
      <c r="J30" s="136"/>
      <c r="K30" s="66"/>
    </row>
    <row r="31" spans="3:11" x14ac:dyDescent="0.25">
      <c r="C31" s="66"/>
      <c r="E31" s="132"/>
      <c r="F31" s="132"/>
      <c r="G31" s="133"/>
      <c r="H31" s="40"/>
      <c r="I31" s="40"/>
      <c r="J31" s="136"/>
      <c r="K31" s="66"/>
    </row>
    <row r="32" spans="3:11" x14ac:dyDescent="0.25">
      <c r="C32" s="66"/>
      <c r="E32" s="132"/>
      <c r="F32" s="132"/>
      <c r="G32" s="133"/>
      <c r="H32" s="40"/>
      <c r="I32" s="40"/>
      <c r="J32" s="136"/>
      <c r="K32" s="66"/>
    </row>
    <row r="33" spans="3:11" x14ac:dyDescent="0.25">
      <c r="C33" s="66"/>
      <c r="E33" s="132"/>
      <c r="F33" s="132"/>
      <c r="G33" s="133"/>
      <c r="H33" s="40"/>
      <c r="I33" s="40"/>
      <c r="J33" s="136"/>
      <c r="K33" s="66"/>
    </row>
    <row r="34" spans="3:11" x14ac:dyDescent="0.25">
      <c r="C34" s="66"/>
      <c r="E34" s="132"/>
      <c r="F34" s="132"/>
      <c r="G34" s="133"/>
      <c r="H34" s="40"/>
      <c r="I34" s="40"/>
      <c r="J34" s="136"/>
      <c r="K34" s="66"/>
    </row>
    <row r="35" spans="3:11" x14ac:dyDescent="0.25">
      <c r="C35" s="66"/>
      <c r="E35" s="132"/>
      <c r="F35" s="132"/>
      <c r="G35" s="133"/>
      <c r="H35" s="40"/>
      <c r="I35" s="40"/>
      <c r="J35" s="136"/>
      <c r="K35" s="66"/>
    </row>
    <row r="36" spans="3:11" x14ac:dyDescent="0.25">
      <c r="C36" s="66"/>
      <c r="E36" s="132"/>
      <c r="F36" s="132"/>
      <c r="G36" s="133"/>
      <c r="H36" s="40"/>
      <c r="I36" s="40"/>
      <c r="J36" s="136"/>
      <c r="K36" s="66"/>
    </row>
    <row r="37" spans="3:11" x14ac:dyDescent="0.25">
      <c r="C37" s="66"/>
      <c r="E37" s="132"/>
      <c r="F37" s="132"/>
      <c r="G37" s="133"/>
      <c r="H37" s="40"/>
      <c r="I37" s="40"/>
      <c r="J37" s="136"/>
      <c r="K37" s="66"/>
    </row>
    <row r="38" spans="3:11" x14ac:dyDescent="0.25">
      <c r="C38" s="66"/>
      <c r="E38" s="132"/>
      <c r="F38" s="132"/>
      <c r="G38" s="133"/>
      <c r="H38" s="40"/>
      <c r="I38" s="40"/>
      <c r="J38" s="136"/>
      <c r="K38" s="66"/>
    </row>
    <row r="39" spans="3:11" x14ac:dyDescent="0.25">
      <c r="C39" s="66"/>
      <c r="E39" s="132"/>
      <c r="F39" s="132"/>
      <c r="G39" s="133"/>
      <c r="H39" s="40"/>
      <c r="I39" s="40"/>
      <c r="J39" s="136"/>
      <c r="K39" s="66"/>
    </row>
    <row r="40" spans="3:11" x14ac:dyDescent="0.25">
      <c r="C40" s="66"/>
      <c r="E40" s="132"/>
      <c r="F40" s="132"/>
      <c r="G40" s="133"/>
      <c r="H40" s="40"/>
      <c r="I40" s="40"/>
      <c r="J40" s="136"/>
      <c r="K40" s="66"/>
    </row>
    <row r="41" spans="3:11" x14ac:dyDescent="0.25">
      <c r="C41" s="66"/>
      <c r="E41" s="132"/>
      <c r="F41" s="132"/>
      <c r="G41" s="133"/>
      <c r="H41" s="40"/>
      <c r="I41" s="40"/>
      <c r="J41" s="136"/>
      <c r="K41" s="66"/>
    </row>
    <row r="42" spans="3:11" x14ac:dyDescent="0.25">
      <c r="C42" s="66"/>
      <c r="E42" s="132"/>
      <c r="F42" s="132"/>
      <c r="G42" s="133"/>
      <c r="H42" s="40"/>
      <c r="I42" s="40"/>
      <c r="J42" s="136"/>
      <c r="K42" s="66"/>
    </row>
    <row r="43" spans="3:11" x14ac:dyDescent="0.25">
      <c r="C43" s="66"/>
      <c r="E43" s="132"/>
      <c r="F43" s="132"/>
      <c r="G43" s="133"/>
      <c r="H43" s="40"/>
      <c r="I43" s="40"/>
      <c r="J43" s="136"/>
      <c r="K43" s="66"/>
    </row>
    <row r="44" spans="3:11" x14ac:dyDescent="0.25">
      <c r="C44" s="66"/>
      <c r="E44" s="132"/>
      <c r="F44" s="132"/>
      <c r="G44" s="133"/>
      <c r="H44" s="40"/>
      <c r="I44" s="40"/>
      <c r="J44" s="136"/>
      <c r="K44" s="66"/>
    </row>
    <row r="45" spans="3:11" x14ac:dyDescent="0.25">
      <c r="C45" s="66"/>
      <c r="E45" s="132"/>
      <c r="F45" s="132"/>
      <c r="G45" s="133"/>
      <c r="H45" s="40"/>
      <c r="I45" s="40"/>
      <c r="J45" s="136"/>
      <c r="K45" s="66"/>
    </row>
    <row r="46" spans="3:11" x14ac:dyDescent="0.25">
      <c r="C46" s="66"/>
      <c r="E46" s="132"/>
      <c r="F46" s="132"/>
      <c r="G46" s="133"/>
      <c r="H46" s="40"/>
      <c r="I46" s="40"/>
      <c r="J46" s="136"/>
      <c r="K46" s="66"/>
    </row>
    <row r="47" spans="3:11" x14ac:dyDescent="0.25">
      <c r="C47" s="66"/>
      <c r="E47" s="132"/>
      <c r="F47" s="132"/>
      <c r="G47" s="133"/>
      <c r="H47" s="40"/>
      <c r="I47" s="40"/>
      <c r="J47" s="136"/>
      <c r="K47" s="66"/>
    </row>
    <row r="48" spans="3:11" x14ac:dyDescent="0.25">
      <c r="C48" s="66"/>
      <c r="E48" s="132"/>
      <c r="F48" s="132"/>
      <c r="G48" s="133"/>
      <c r="H48" s="40"/>
      <c r="I48" s="40"/>
      <c r="J48" s="136"/>
      <c r="K48" s="66"/>
    </row>
    <row r="49" spans="3:11" x14ac:dyDescent="0.25">
      <c r="C49" s="66"/>
      <c r="E49" s="132"/>
      <c r="F49" s="132"/>
      <c r="G49" s="133"/>
      <c r="H49" s="40"/>
      <c r="I49" s="40"/>
      <c r="J49" s="136"/>
      <c r="K49" s="66"/>
    </row>
    <row r="50" spans="3:11" x14ac:dyDescent="0.25">
      <c r="C50" s="66"/>
      <c r="E50" s="132"/>
      <c r="F50" s="132"/>
      <c r="G50" s="133"/>
      <c r="H50" s="40"/>
      <c r="I50" s="40"/>
      <c r="J50" s="136"/>
      <c r="K50" s="66"/>
    </row>
    <row r="51" spans="3:11" x14ac:dyDescent="0.25">
      <c r="C51" s="66"/>
      <c r="E51" s="132"/>
      <c r="F51" s="132"/>
      <c r="G51" s="133"/>
      <c r="H51" s="40"/>
      <c r="I51" s="40"/>
      <c r="J51" s="136"/>
      <c r="K51" s="66"/>
    </row>
    <row r="52" spans="3:11" x14ac:dyDescent="0.25">
      <c r="C52" s="66"/>
      <c r="E52" s="132"/>
      <c r="F52" s="132"/>
      <c r="G52" s="133"/>
      <c r="H52" s="40"/>
      <c r="I52" s="40"/>
      <c r="J52" s="136"/>
      <c r="K52" s="66"/>
    </row>
    <row r="53" spans="3:11" x14ac:dyDescent="0.25">
      <c r="C53" s="66"/>
      <c r="E53" s="132"/>
      <c r="F53" s="132"/>
      <c r="G53" s="133"/>
      <c r="H53" s="40"/>
      <c r="I53" s="40"/>
      <c r="J53" s="136"/>
      <c r="K53" s="66"/>
    </row>
    <row r="54" spans="3:11" x14ac:dyDescent="0.25">
      <c r="C54" s="66"/>
      <c r="E54" s="132"/>
      <c r="F54" s="132"/>
      <c r="G54" s="133"/>
      <c r="H54" s="40"/>
      <c r="I54" s="40"/>
      <c r="J54" s="136"/>
      <c r="K54" s="66"/>
    </row>
    <row r="55" spans="3:11" x14ac:dyDescent="0.25">
      <c r="C55" s="66"/>
      <c r="E55" s="132"/>
      <c r="F55" s="132"/>
      <c r="G55" s="133"/>
      <c r="H55" s="40"/>
      <c r="I55" s="40"/>
      <c r="J55" s="136"/>
      <c r="K55" s="66"/>
    </row>
    <row r="56" spans="3:11" x14ac:dyDescent="0.25">
      <c r="C56" s="66"/>
      <c r="E56" s="132"/>
      <c r="F56" s="132"/>
      <c r="G56" s="133"/>
      <c r="H56" s="40"/>
      <c r="I56" s="40"/>
      <c r="J56" s="136"/>
      <c r="K56" s="66"/>
    </row>
    <row r="57" spans="3:11" x14ac:dyDescent="0.25">
      <c r="C57" s="66"/>
      <c r="E57" s="132"/>
      <c r="F57" s="132"/>
      <c r="G57" s="133"/>
      <c r="H57" s="40"/>
      <c r="I57" s="40"/>
      <c r="J57" s="136"/>
      <c r="K57" s="66"/>
    </row>
    <row r="58" spans="3:11" x14ac:dyDescent="0.25">
      <c r="C58" s="66"/>
      <c r="E58" s="132"/>
      <c r="F58" s="132"/>
      <c r="G58" s="133"/>
      <c r="H58" s="40"/>
      <c r="I58" s="40"/>
      <c r="J58" s="136"/>
      <c r="K58" s="66"/>
    </row>
    <row r="59" spans="3:11" x14ac:dyDescent="0.25">
      <c r="C59" s="66"/>
      <c r="E59" s="132"/>
      <c r="F59" s="132"/>
      <c r="G59" s="133"/>
      <c r="H59" s="40"/>
      <c r="I59" s="40"/>
      <c r="J59" s="136"/>
      <c r="K59" s="66"/>
    </row>
    <row r="60" spans="3:11" x14ac:dyDescent="0.25">
      <c r="C60" s="66"/>
      <c r="E60" s="132"/>
      <c r="F60" s="132"/>
      <c r="G60" s="133"/>
      <c r="H60" s="40"/>
      <c r="I60" s="40"/>
      <c r="J60" s="136"/>
      <c r="K60" s="66"/>
    </row>
    <row r="61" spans="3:11" x14ac:dyDescent="0.25">
      <c r="C61" s="66"/>
      <c r="E61" s="132"/>
      <c r="F61" s="132"/>
      <c r="G61" s="133"/>
      <c r="H61" s="40"/>
      <c r="I61" s="40"/>
      <c r="J61" s="136"/>
      <c r="K61" s="66"/>
    </row>
    <row r="62" spans="3:11" x14ac:dyDescent="0.25">
      <c r="C62" s="66"/>
      <c r="E62" s="132"/>
      <c r="F62" s="132"/>
      <c r="G62" s="133"/>
      <c r="H62" s="40"/>
      <c r="I62" s="40"/>
      <c r="J62" s="136"/>
      <c r="K62" s="66"/>
    </row>
    <row r="63" spans="3:11" x14ac:dyDescent="0.25">
      <c r="C63" s="66"/>
      <c r="E63" s="132"/>
      <c r="F63" s="132"/>
      <c r="G63" s="133"/>
      <c r="H63" s="40"/>
      <c r="I63" s="40"/>
      <c r="J63" s="136"/>
      <c r="K63" s="66"/>
    </row>
    <row r="64" spans="3:11" x14ac:dyDescent="0.25">
      <c r="C64" s="66"/>
      <c r="E64" s="132"/>
      <c r="F64" s="132"/>
      <c r="G64" s="133"/>
      <c r="H64" s="40"/>
      <c r="I64" s="40"/>
      <c r="J64" s="136"/>
      <c r="K64" s="66"/>
    </row>
    <row r="65" spans="3:11" x14ac:dyDescent="0.25">
      <c r="C65" s="66"/>
      <c r="E65" s="132"/>
      <c r="F65" s="132"/>
      <c r="G65" s="133"/>
      <c r="H65" s="40"/>
      <c r="I65" s="40"/>
      <c r="J65" s="136"/>
      <c r="K65" s="66"/>
    </row>
    <row r="66" spans="3:11" x14ac:dyDescent="0.25">
      <c r="C66" s="66"/>
      <c r="E66" s="132"/>
      <c r="F66" s="132"/>
      <c r="G66" s="133"/>
      <c r="H66" s="40"/>
      <c r="I66" s="40"/>
      <c r="J66" s="136"/>
      <c r="K66" s="66"/>
    </row>
    <row r="67" spans="3:11" x14ac:dyDescent="0.25">
      <c r="C67" s="66"/>
      <c r="E67" s="132"/>
      <c r="F67" s="132"/>
      <c r="G67" s="133"/>
      <c r="H67" s="40"/>
      <c r="I67" s="40"/>
      <c r="J67" s="136"/>
      <c r="K67" s="66"/>
    </row>
    <row r="68" spans="3:11" x14ac:dyDescent="0.25">
      <c r="C68" s="66"/>
      <c r="E68" s="132"/>
      <c r="F68" s="132"/>
      <c r="G68" s="133"/>
      <c r="H68" s="40"/>
      <c r="I68" s="40"/>
      <c r="J68" s="136"/>
      <c r="K68" s="66"/>
    </row>
    <row r="69" spans="3:11" x14ac:dyDescent="0.25">
      <c r="C69" s="66"/>
      <c r="E69" s="132"/>
      <c r="F69" s="132"/>
      <c r="G69" s="133"/>
      <c r="H69" s="40"/>
      <c r="I69" s="40"/>
      <c r="J69" s="136"/>
      <c r="K69" s="66"/>
    </row>
    <row r="70" spans="3:11" x14ac:dyDescent="0.25">
      <c r="C70" s="66"/>
      <c r="E70" s="132"/>
      <c r="F70" s="132"/>
      <c r="G70" s="133"/>
      <c r="H70" s="40"/>
      <c r="I70" s="40"/>
      <c r="J70" s="136"/>
      <c r="K70" s="66"/>
    </row>
    <row r="71" spans="3:11" x14ac:dyDescent="0.25">
      <c r="C71" s="66"/>
      <c r="E71" s="132"/>
      <c r="F71" s="132"/>
      <c r="G71" s="133"/>
      <c r="H71" s="40"/>
      <c r="I71" s="40"/>
      <c r="J71" s="136"/>
      <c r="K71" s="66"/>
    </row>
    <row r="72" spans="3:11" x14ac:dyDescent="0.25">
      <c r="C72" s="66"/>
      <c r="E72" s="132"/>
      <c r="F72" s="132"/>
      <c r="G72" s="133"/>
      <c r="H72" s="40"/>
      <c r="I72" s="40"/>
      <c r="J72" s="136"/>
      <c r="K72" s="66"/>
    </row>
    <row r="73" spans="3:11" x14ac:dyDescent="0.25">
      <c r="C73" s="66"/>
      <c r="E73" s="132"/>
      <c r="F73" s="132"/>
      <c r="G73" s="133"/>
      <c r="H73" s="40"/>
      <c r="I73" s="40"/>
      <c r="J73" s="136"/>
      <c r="K73" s="66"/>
    </row>
    <row r="74" spans="3:11" x14ac:dyDescent="0.25">
      <c r="C74" s="66"/>
      <c r="E74" s="132"/>
      <c r="F74" s="132"/>
      <c r="G74" s="133"/>
      <c r="H74" s="40"/>
      <c r="I74" s="40"/>
      <c r="J74" s="136"/>
      <c r="K74" s="66"/>
    </row>
    <row r="75" spans="3:11" x14ac:dyDescent="0.25">
      <c r="C75" s="66"/>
      <c r="E75" s="132"/>
      <c r="F75" s="132"/>
      <c r="G75" s="133"/>
      <c r="H75" s="40"/>
      <c r="I75" s="40"/>
      <c r="J75" s="136"/>
      <c r="K75" s="66"/>
    </row>
    <row r="76" spans="3:11" x14ac:dyDescent="0.25">
      <c r="C76" s="66"/>
      <c r="E76" s="132"/>
      <c r="F76" s="132"/>
      <c r="G76" s="133"/>
      <c r="H76" s="40"/>
      <c r="I76" s="40"/>
      <c r="J76" s="136"/>
      <c r="K76" s="66"/>
    </row>
    <row r="77" spans="3:11" x14ac:dyDescent="0.25">
      <c r="C77" s="66"/>
      <c r="E77" s="132"/>
      <c r="F77" s="132"/>
      <c r="G77" s="133"/>
      <c r="H77" s="40"/>
      <c r="I77" s="40"/>
      <c r="J77" s="136"/>
      <c r="K77" s="66"/>
    </row>
    <row r="78" spans="3:11" x14ac:dyDescent="0.25">
      <c r="C78" s="66"/>
      <c r="E78" s="132"/>
      <c r="F78" s="132"/>
      <c r="G78" s="133"/>
      <c r="H78" s="40"/>
      <c r="I78" s="40"/>
      <c r="J78" s="136"/>
      <c r="K78" s="66"/>
    </row>
    <row r="79" spans="3:11" x14ac:dyDescent="0.25">
      <c r="C79" s="66"/>
      <c r="E79" s="132"/>
      <c r="F79" s="132"/>
      <c r="G79" s="133"/>
      <c r="H79" s="40"/>
      <c r="I79" s="40"/>
      <c r="J79" s="136"/>
      <c r="K79" s="66"/>
    </row>
    <row r="80" spans="3:11" x14ac:dyDescent="0.25">
      <c r="C80" s="66"/>
      <c r="E80" s="132"/>
      <c r="F80" s="132"/>
      <c r="G80" s="133"/>
      <c r="H80" s="40"/>
      <c r="I80" s="40"/>
      <c r="J80" s="136"/>
      <c r="K80" s="66"/>
    </row>
    <row r="81" spans="3:11" x14ac:dyDescent="0.25">
      <c r="C81" s="66"/>
      <c r="E81" s="132"/>
      <c r="F81" s="132"/>
      <c r="G81" s="133"/>
      <c r="H81" s="40"/>
      <c r="I81" s="40"/>
      <c r="J81" s="136"/>
      <c r="K81" s="66"/>
    </row>
    <row r="82" spans="3:11" x14ac:dyDescent="0.25">
      <c r="C82" s="66"/>
      <c r="E82" s="132"/>
      <c r="F82" s="132"/>
      <c r="G82" s="133"/>
      <c r="H82" s="40"/>
      <c r="I82" s="40"/>
      <c r="J82" s="136"/>
      <c r="K82" s="66"/>
    </row>
    <row r="83" spans="3:11" x14ac:dyDescent="0.25">
      <c r="C83" s="66"/>
      <c r="E83" s="132"/>
      <c r="F83" s="132"/>
      <c r="G83" s="133"/>
      <c r="H83" s="40"/>
      <c r="I83" s="40"/>
      <c r="J83" s="136"/>
      <c r="K83" s="66"/>
    </row>
    <row r="84" spans="3:11" x14ac:dyDescent="0.25">
      <c r="C84" s="66"/>
      <c r="E84" s="132"/>
      <c r="F84" s="132"/>
      <c r="G84" s="133"/>
      <c r="H84" s="40"/>
      <c r="I84" s="40"/>
      <c r="J84" s="136"/>
      <c r="K84" s="66"/>
    </row>
    <row r="85" spans="3:11" x14ac:dyDescent="0.25">
      <c r="C85" s="66"/>
      <c r="E85" s="132"/>
      <c r="F85" s="132"/>
      <c r="G85" s="133"/>
      <c r="H85" s="40"/>
      <c r="I85" s="40"/>
      <c r="J85" s="136"/>
      <c r="K85" s="66"/>
    </row>
    <row r="86" spans="3:11" x14ac:dyDescent="0.25">
      <c r="C86" s="66"/>
      <c r="E86" s="132"/>
      <c r="F86" s="132"/>
      <c r="G86" s="133"/>
      <c r="H86" s="40"/>
      <c r="I86" s="40"/>
      <c r="J86" s="136"/>
      <c r="K86" s="66"/>
    </row>
    <row r="87" spans="3:11" x14ac:dyDescent="0.25">
      <c r="C87" s="66"/>
      <c r="E87" s="132"/>
      <c r="F87" s="132"/>
      <c r="G87" s="133"/>
      <c r="H87" s="40"/>
      <c r="I87" s="40"/>
      <c r="J87" s="136"/>
      <c r="K87" s="66"/>
    </row>
    <row r="88" spans="3:11" x14ac:dyDescent="0.25">
      <c r="C88" s="66"/>
      <c r="E88" s="132"/>
      <c r="F88" s="132"/>
      <c r="G88" s="133"/>
      <c r="H88" s="40"/>
      <c r="I88" s="40"/>
      <c r="J88" s="136"/>
      <c r="K88" s="66"/>
    </row>
    <row r="89" spans="3:11" x14ac:dyDescent="0.25">
      <c r="C89" s="66"/>
      <c r="E89" s="132"/>
      <c r="F89" s="132"/>
      <c r="G89" s="133"/>
      <c r="H89" s="40"/>
      <c r="I89" s="40"/>
      <c r="J89" s="136"/>
      <c r="K89" s="66"/>
    </row>
    <row r="90" spans="3:11" x14ac:dyDescent="0.25">
      <c r="C90" s="66"/>
      <c r="E90" s="132"/>
      <c r="F90" s="132"/>
      <c r="G90" s="133"/>
      <c r="H90" s="40"/>
      <c r="I90" s="40"/>
      <c r="J90" s="136"/>
      <c r="K90" s="66"/>
    </row>
    <row r="91" spans="3:11" x14ac:dyDescent="0.25">
      <c r="C91" s="66"/>
      <c r="E91" s="132"/>
      <c r="F91" s="132"/>
      <c r="G91" s="133"/>
      <c r="H91" s="40"/>
      <c r="I91" s="40"/>
      <c r="J91" s="136"/>
      <c r="K91" s="66"/>
    </row>
    <row r="92" spans="3:11" x14ac:dyDescent="0.25">
      <c r="C92" s="66"/>
      <c r="E92" s="132"/>
      <c r="F92" s="132"/>
      <c r="G92" s="133"/>
      <c r="H92" s="40"/>
      <c r="I92" s="40"/>
      <c r="J92" s="136"/>
      <c r="K92" s="66"/>
    </row>
    <row r="93" spans="3:11" x14ac:dyDescent="0.25">
      <c r="C93" s="66"/>
      <c r="E93" s="132"/>
      <c r="F93" s="132"/>
      <c r="G93" s="133"/>
      <c r="H93" s="40"/>
      <c r="I93" s="40"/>
      <c r="J93" s="136"/>
      <c r="K93" s="66"/>
    </row>
    <row r="94" spans="3:11" x14ac:dyDescent="0.25">
      <c r="C94" s="66"/>
      <c r="E94" s="132"/>
      <c r="F94" s="132"/>
      <c r="G94" s="133"/>
      <c r="H94" s="40"/>
      <c r="I94" s="40"/>
      <c r="J94" s="136"/>
      <c r="K94" s="66"/>
    </row>
    <row r="95" spans="3:11" x14ac:dyDescent="0.25">
      <c r="C95" s="66"/>
      <c r="E95" s="132"/>
      <c r="F95" s="132"/>
      <c r="G95" s="133"/>
      <c r="H95" s="40"/>
      <c r="I95" s="40"/>
      <c r="J95" s="136"/>
      <c r="K95" s="66"/>
    </row>
    <row r="96" spans="3:11" x14ac:dyDescent="0.25">
      <c r="C96" s="66"/>
      <c r="E96" s="132"/>
      <c r="F96" s="132"/>
      <c r="G96" s="133"/>
      <c r="H96" s="40"/>
      <c r="I96" s="40"/>
      <c r="J96" s="136"/>
      <c r="K96" s="66"/>
    </row>
    <row r="97" spans="3:11" x14ac:dyDescent="0.25">
      <c r="C97" s="66"/>
      <c r="E97" s="132"/>
      <c r="F97" s="132"/>
      <c r="G97" s="133"/>
      <c r="H97" s="40"/>
      <c r="I97" s="40"/>
      <c r="J97" s="136"/>
      <c r="K97" s="66"/>
    </row>
    <row r="98" spans="3:11" x14ac:dyDescent="0.25">
      <c r="C98" s="66"/>
      <c r="E98" s="132"/>
      <c r="F98" s="132"/>
      <c r="G98" s="133"/>
      <c r="H98" s="40"/>
      <c r="I98" s="40"/>
      <c r="J98" s="136"/>
      <c r="K98" s="66"/>
    </row>
    <row r="99" spans="3:11" x14ac:dyDescent="0.25">
      <c r="C99" s="66"/>
      <c r="E99" s="132"/>
      <c r="F99" s="132"/>
      <c r="G99" s="133"/>
      <c r="H99" s="40"/>
      <c r="I99" s="40"/>
      <c r="J99" s="136"/>
      <c r="K99" s="66"/>
    </row>
    <row r="100" spans="3:11" x14ac:dyDescent="0.25">
      <c r="C100" s="66"/>
      <c r="E100" s="132"/>
      <c r="F100" s="132"/>
      <c r="G100" s="133"/>
      <c r="H100" s="40"/>
      <c r="I100" s="40"/>
      <c r="J100" s="136"/>
      <c r="K100" s="66"/>
    </row>
    <row r="101" spans="3:11" x14ac:dyDescent="0.25">
      <c r="C101" s="66"/>
      <c r="E101" s="132"/>
      <c r="F101" s="132"/>
      <c r="G101" s="133"/>
      <c r="H101" s="40"/>
      <c r="I101" s="40"/>
      <c r="J101" s="136"/>
      <c r="K101" s="66"/>
    </row>
    <row r="102" spans="3:11" x14ac:dyDescent="0.25">
      <c r="C102" s="66"/>
      <c r="E102" s="132"/>
      <c r="F102" s="132"/>
      <c r="G102" s="133"/>
      <c r="H102" s="40"/>
      <c r="I102" s="40"/>
      <c r="J102" s="136"/>
      <c r="K102" s="66"/>
    </row>
    <row r="103" spans="3:11" x14ac:dyDescent="0.25">
      <c r="C103" s="66"/>
      <c r="E103" s="132"/>
      <c r="F103" s="132"/>
      <c r="G103" s="133"/>
      <c r="H103" s="40"/>
      <c r="I103" s="40"/>
      <c r="J103" s="136"/>
      <c r="K103" s="66"/>
    </row>
    <row r="104" spans="3:11" x14ac:dyDescent="0.25">
      <c r="C104" s="66"/>
      <c r="E104" s="132"/>
      <c r="F104" s="132"/>
      <c r="G104" s="133"/>
      <c r="H104" s="40"/>
      <c r="I104" s="40"/>
      <c r="J104" s="136"/>
      <c r="K104" s="66"/>
    </row>
    <row r="105" spans="3:11" x14ac:dyDescent="0.25">
      <c r="C105" s="66"/>
      <c r="E105" s="132"/>
      <c r="F105" s="132"/>
      <c r="G105" s="133"/>
      <c r="H105" s="40"/>
      <c r="I105" s="40"/>
      <c r="J105" s="136"/>
      <c r="K105" s="66"/>
    </row>
    <row r="106" spans="3:11" x14ac:dyDescent="0.25">
      <c r="C106" s="66"/>
      <c r="E106" s="132"/>
      <c r="F106" s="132"/>
      <c r="G106" s="133"/>
      <c r="H106" s="40"/>
      <c r="I106" s="40"/>
      <c r="J106" s="136"/>
      <c r="K106" s="66"/>
    </row>
    <row r="107" spans="3:11" x14ac:dyDescent="0.25">
      <c r="C107" s="66"/>
      <c r="E107" s="132"/>
      <c r="F107" s="132"/>
      <c r="G107" s="133"/>
      <c r="H107" s="40"/>
      <c r="I107" s="40"/>
      <c r="J107" s="136"/>
      <c r="K107" s="66"/>
    </row>
    <row r="108" spans="3:11" x14ac:dyDescent="0.25">
      <c r="C108" s="66"/>
      <c r="E108" s="132"/>
      <c r="F108" s="132"/>
      <c r="G108" s="133"/>
      <c r="H108" s="40"/>
      <c r="I108" s="40"/>
      <c r="J108" s="136"/>
      <c r="K108" s="66"/>
    </row>
    <row r="109" spans="3:11" x14ac:dyDescent="0.25">
      <c r="C109" s="66"/>
      <c r="E109" s="132"/>
      <c r="F109" s="132"/>
      <c r="G109" s="133"/>
      <c r="H109" s="40"/>
      <c r="I109" s="40"/>
      <c r="J109" s="136"/>
      <c r="K109" s="66"/>
    </row>
    <row r="110" spans="3:11" x14ac:dyDescent="0.25">
      <c r="C110" s="66"/>
      <c r="E110" s="132"/>
      <c r="F110" s="132"/>
      <c r="G110" s="133"/>
      <c r="H110" s="40"/>
      <c r="I110" s="40"/>
      <c r="J110" s="136"/>
      <c r="K110" s="66"/>
    </row>
    <row r="111" spans="3:11" x14ac:dyDescent="0.25">
      <c r="C111" s="66"/>
      <c r="E111" s="132"/>
      <c r="F111" s="132"/>
      <c r="G111" s="133"/>
      <c r="H111" s="40"/>
      <c r="I111" s="40"/>
      <c r="J111" s="136"/>
      <c r="K111" s="66"/>
    </row>
    <row r="112" spans="3:11" x14ac:dyDescent="0.25">
      <c r="C112" s="66"/>
      <c r="E112" s="132"/>
      <c r="F112" s="132"/>
      <c r="G112" s="133"/>
      <c r="H112" s="40"/>
      <c r="I112" s="40"/>
      <c r="J112" s="136"/>
      <c r="K112" s="66"/>
    </row>
    <row r="113" spans="3:11" x14ac:dyDescent="0.25">
      <c r="C113" s="66"/>
      <c r="E113" s="132"/>
      <c r="F113" s="132"/>
      <c r="G113" s="133"/>
      <c r="H113" s="40"/>
      <c r="I113" s="40"/>
      <c r="J113" s="136"/>
      <c r="K113" s="66"/>
    </row>
    <row r="114" spans="3:11" x14ac:dyDescent="0.25">
      <c r="C114" s="66"/>
      <c r="E114" s="132"/>
      <c r="F114" s="132"/>
      <c r="G114" s="133"/>
      <c r="H114" s="40"/>
      <c r="I114" s="40"/>
      <c r="J114" s="136"/>
      <c r="K114" s="66"/>
    </row>
    <row r="115" spans="3:11" x14ac:dyDescent="0.25">
      <c r="C115" s="66"/>
      <c r="E115" s="132"/>
      <c r="F115" s="132"/>
      <c r="G115" s="133"/>
      <c r="H115" s="40"/>
      <c r="I115" s="40"/>
      <c r="J115" s="136"/>
      <c r="K115" s="66"/>
    </row>
    <row r="116" spans="3:11" x14ac:dyDescent="0.25">
      <c r="C116" s="66"/>
      <c r="E116" s="132"/>
      <c r="F116" s="132"/>
      <c r="G116" s="133"/>
      <c r="H116" s="40"/>
      <c r="I116" s="40"/>
      <c r="J116" s="136"/>
      <c r="K116" s="66"/>
    </row>
    <row r="117" spans="3:11" x14ac:dyDescent="0.25">
      <c r="C117" s="66"/>
      <c r="E117" s="132"/>
      <c r="F117" s="132"/>
      <c r="G117" s="133"/>
      <c r="H117" s="40"/>
      <c r="I117" s="40"/>
      <c r="J117" s="136"/>
      <c r="K117" s="66"/>
    </row>
    <row r="118" spans="3:11" x14ac:dyDescent="0.25">
      <c r="C118" s="66"/>
      <c r="E118" s="132"/>
      <c r="F118" s="132"/>
      <c r="G118" s="133"/>
      <c r="H118" s="40"/>
      <c r="I118" s="40"/>
      <c r="J118" s="136"/>
      <c r="K118" s="66"/>
    </row>
    <row r="119" spans="3:11" x14ac:dyDescent="0.25">
      <c r="C119" s="66"/>
      <c r="E119" s="132"/>
      <c r="F119" s="132"/>
      <c r="G119" s="133"/>
      <c r="H119" s="40"/>
      <c r="I119" s="40"/>
      <c r="J119" s="136"/>
      <c r="K119" s="66"/>
    </row>
    <row r="120" spans="3:11" x14ac:dyDescent="0.25">
      <c r="C120" s="66"/>
      <c r="E120" s="132"/>
      <c r="F120" s="132"/>
      <c r="G120" s="133"/>
      <c r="H120" s="40"/>
      <c r="I120" s="40"/>
      <c r="J120" s="136"/>
      <c r="K120" s="66"/>
    </row>
    <row r="121" spans="3:11" x14ac:dyDescent="0.25">
      <c r="C121" s="66"/>
      <c r="E121" s="132"/>
      <c r="F121" s="132"/>
      <c r="G121" s="133"/>
      <c r="H121" s="40"/>
      <c r="I121" s="40"/>
      <c r="J121" s="136"/>
      <c r="K121" s="66"/>
    </row>
    <row r="122" spans="3:11" x14ac:dyDescent="0.25">
      <c r="C122" s="66"/>
      <c r="E122" s="132"/>
      <c r="F122" s="132"/>
      <c r="G122" s="133"/>
      <c r="H122" s="40"/>
      <c r="I122" s="40"/>
      <c r="J122" s="136"/>
      <c r="K122" s="66"/>
    </row>
    <row r="123" spans="3:11" x14ac:dyDescent="0.25">
      <c r="C123" s="66"/>
      <c r="E123" s="132"/>
      <c r="F123" s="132"/>
      <c r="G123" s="133"/>
      <c r="H123" s="40"/>
      <c r="I123" s="40"/>
      <c r="J123" s="136"/>
      <c r="K123" s="66"/>
    </row>
    <row r="124" spans="3:11" x14ac:dyDescent="0.25">
      <c r="C124" s="66"/>
      <c r="E124" s="132"/>
      <c r="F124" s="132"/>
      <c r="G124" s="133"/>
      <c r="H124" s="40"/>
      <c r="I124" s="40"/>
      <c r="J124" s="136"/>
      <c r="K124" s="66"/>
    </row>
    <row r="125" spans="3:11" x14ac:dyDescent="0.25">
      <c r="C125" s="66"/>
      <c r="E125" s="132"/>
      <c r="F125" s="132"/>
      <c r="G125" s="133"/>
      <c r="H125" s="40"/>
      <c r="I125" s="40"/>
      <c r="J125" s="136"/>
      <c r="K125" s="66"/>
    </row>
    <row r="126" spans="3:11" x14ac:dyDescent="0.25">
      <c r="C126" s="66"/>
      <c r="E126" s="132"/>
      <c r="F126" s="132"/>
      <c r="G126" s="133"/>
      <c r="H126" s="40"/>
      <c r="I126" s="40"/>
      <c r="J126" s="136"/>
      <c r="K126" s="66"/>
    </row>
    <row r="127" spans="3:11" x14ac:dyDescent="0.25">
      <c r="C127" s="66"/>
      <c r="E127" s="132"/>
      <c r="F127" s="132"/>
      <c r="G127" s="133"/>
      <c r="H127" s="40"/>
      <c r="I127" s="40"/>
      <c r="J127" s="136"/>
      <c r="K127" s="66"/>
    </row>
    <row r="128" spans="3:11" x14ac:dyDescent="0.25">
      <c r="C128" s="66"/>
      <c r="E128" s="132"/>
      <c r="F128" s="132"/>
      <c r="G128" s="133"/>
      <c r="H128" s="40"/>
      <c r="I128" s="40"/>
      <c r="J128" s="136"/>
      <c r="K128" s="66"/>
    </row>
    <row r="129" spans="3:11" x14ac:dyDescent="0.25">
      <c r="C129" s="66"/>
      <c r="E129" s="132"/>
      <c r="F129" s="132"/>
      <c r="G129" s="133"/>
      <c r="H129" s="40"/>
      <c r="I129" s="40"/>
      <c r="J129" s="136"/>
      <c r="K129" s="66"/>
    </row>
    <row r="130" spans="3:11" x14ac:dyDescent="0.25">
      <c r="C130" s="66"/>
      <c r="E130" s="132"/>
      <c r="F130" s="132"/>
      <c r="G130" s="133"/>
      <c r="H130" s="40"/>
      <c r="I130" s="40"/>
      <c r="J130" s="136"/>
      <c r="K130" s="66"/>
    </row>
    <row r="131" spans="3:11" x14ac:dyDescent="0.25">
      <c r="C131" s="66"/>
      <c r="E131" s="132"/>
      <c r="F131" s="132"/>
      <c r="G131" s="133"/>
      <c r="H131" s="40"/>
      <c r="I131" s="40"/>
      <c r="J131" s="136"/>
      <c r="K131" s="66"/>
    </row>
    <row r="132" spans="3:11" x14ac:dyDescent="0.25">
      <c r="C132" s="66"/>
      <c r="E132" s="132"/>
      <c r="F132" s="132"/>
      <c r="G132" s="133"/>
      <c r="H132" s="40"/>
      <c r="I132" s="40"/>
      <c r="J132" s="136"/>
      <c r="K132" s="66"/>
    </row>
    <row r="133" spans="3:11" x14ac:dyDescent="0.25">
      <c r="C133" s="66"/>
      <c r="E133" s="132"/>
      <c r="F133" s="132"/>
      <c r="G133" s="133"/>
      <c r="H133" s="40"/>
      <c r="I133" s="40"/>
      <c r="J133" s="136"/>
      <c r="K133" s="66"/>
    </row>
    <row r="134" spans="3:11" x14ac:dyDescent="0.25">
      <c r="C134" s="66"/>
      <c r="E134" s="132"/>
      <c r="F134" s="132"/>
      <c r="G134" s="133"/>
      <c r="H134" s="40"/>
      <c r="I134" s="40"/>
      <c r="J134" s="136"/>
      <c r="K134" s="66"/>
    </row>
    <row r="135" spans="3:11" x14ac:dyDescent="0.25">
      <c r="C135" s="66"/>
      <c r="E135" s="132"/>
      <c r="F135" s="132"/>
      <c r="G135" s="133"/>
      <c r="H135" s="40"/>
      <c r="I135" s="40"/>
      <c r="J135" s="136"/>
      <c r="K135" s="66"/>
    </row>
    <row r="136" spans="3:11" x14ac:dyDescent="0.25">
      <c r="C136" s="66"/>
      <c r="E136" s="132"/>
      <c r="F136" s="132"/>
      <c r="G136" s="133"/>
      <c r="H136" s="40"/>
      <c r="I136" s="40"/>
      <c r="J136" s="136"/>
      <c r="K136" s="66"/>
    </row>
    <row r="137" spans="3:11" x14ac:dyDescent="0.25">
      <c r="C137" s="66"/>
      <c r="E137" s="132"/>
      <c r="F137" s="132"/>
      <c r="G137" s="133"/>
      <c r="H137" s="40"/>
      <c r="I137" s="40"/>
      <c r="J137" s="136"/>
      <c r="K137" s="66"/>
    </row>
    <row r="138" spans="3:11" x14ac:dyDescent="0.25">
      <c r="C138" s="66"/>
      <c r="E138" s="132"/>
      <c r="F138" s="132"/>
      <c r="G138" s="133"/>
      <c r="H138" s="40"/>
      <c r="I138" s="40"/>
      <c r="J138" s="136"/>
      <c r="K138" s="66"/>
    </row>
    <row r="139" spans="3:11" x14ac:dyDescent="0.25">
      <c r="C139" s="66"/>
      <c r="E139" s="132"/>
      <c r="F139" s="132"/>
      <c r="G139" s="133"/>
      <c r="H139" s="40"/>
      <c r="I139" s="40"/>
      <c r="J139" s="136"/>
      <c r="K139" s="66"/>
    </row>
    <row r="140" spans="3:11" x14ac:dyDescent="0.25">
      <c r="C140" s="66"/>
      <c r="E140" s="132"/>
      <c r="F140" s="132"/>
      <c r="G140" s="133"/>
      <c r="H140" s="40"/>
      <c r="I140" s="40"/>
      <c r="J140" s="136"/>
      <c r="K140" s="66"/>
    </row>
    <row r="141" spans="3:11" x14ac:dyDescent="0.25">
      <c r="C141" s="66"/>
      <c r="E141" s="132"/>
      <c r="F141" s="132"/>
      <c r="G141" s="133"/>
      <c r="H141" s="40"/>
      <c r="I141" s="40"/>
      <c r="J141" s="136"/>
      <c r="K141" s="66"/>
    </row>
    <row r="142" spans="3:11" x14ac:dyDescent="0.25">
      <c r="C142" s="66"/>
      <c r="E142" s="132"/>
      <c r="F142" s="132"/>
      <c r="G142" s="133"/>
      <c r="H142" s="40"/>
      <c r="I142" s="40"/>
      <c r="J142" s="136"/>
      <c r="K142" s="66"/>
    </row>
    <row r="143" spans="3:11" x14ac:dyDescent="0.25">
      <c r="C143" s="66"/>
      <c r="E143" s="132"/>
      <c r="F143" s="132"/>
      <c r="G143" s="133"/>
      <c r="H143" s="40"/>
      <c r="I143" s="40"/>
      <c r="J143" s="136"/>
      <c r="K143" s="66"/>
    </row>
    <row r="144" spans="3:11" x14ac:dyDescent="0.25">
      <c r="C144" s="66"/>
      <c r="E144" s="132"/>
      <c r="F144" s="132"/>
      <c r="G144" s="133"/>
      <c r="H144" s="40"/>
      <c r="I144" s="40"/>
      <c r="J144" s="136"/>
      <c r="K144" s="66"/>
    </row>
    <row r="145" spans="3:11" x14ac:dyDescent="0.25">
      <c r="C145" s="66"/>
      <c r="E145" s="132"/>
      <c r="F145" s="132"/>
      <c r="G145" s="133"/>
      <c r="H145" s="40"/>
      <c r="I145" s="40"/>
      <c r="J145" s="136"/>
      <c r="K145" s="66"/>
    </row>
    <row r="146" spans="3:11" x14ac:dyDescent="0.25">
      <c r="C146" s="66"/>
      <c r="E146" s="132"/>
      <c r="F146" s="132"/>
      <c r="G146" s="133"/>
      <c r="H146" s="40"/>
      <c r="I146" s="40"/>
      <c r="J146" s="136"/>
      <c r="K146" s="66"/>
    </row>
    <row r="147" spans="3:11" x14ac:dyDescent="0.25">
      <c r="C147" s="66"/>
      <c r="E147" s="132"/>
      <c r="F147" s="132"/>
      <c r="G147" s="133"/>
      <c r="H147" s="40"/>
      <c r="I147" s="40"/>
      <c r="J147" s="136"/>
      <c r="K147" s="66"/>
    </row>
    <row r="148" spans="3:11" x14ac:dyDescent="0.25">
      <c r="C148" s="66"/>
      <c r="E148" s="132"/>
      <c r="F148" s="132"/>
      <c r="G148" s="133"/>
      <c r="H148" s="40"/>
      <c r="I148" s="40"/>
      <c r="J148" s="136"/>
      <c r="K148" s="66"/>
    </row>
    <row r="149" spans="3:11" x14ac:dyDescent="0.25">
      <c r="C149" s="66"/>
      <c r="E149" s="132"/>
      <c r="F149" s="132"/>
      <c r="G149" s="133"/>
      <c r="H149" s="40"/>
      <c r="I149" s="40"/>
      <c r="J149" s="136"/>
      <c r="K149" s="66"/>
    </row>
    <row r="150" spans="3:11" x14ac:dyDescent="0.25">
      <c r="C150" s="66"/>
      <c r="E150" s="132"/>
      <c r="F150" s="132"/>
      <c r="G150" s="133"/>
      <c r="H150" s="40"/>
      <c r="I150" s="40"/>
      <c r="J150" s="136"/>
      <c r="K150" s="66"/>
    </row>
    <row r="151" spans="3:11" x14ac:dyDescent="0.25">
      <c r="C151" s="66"/>
      <c r="E151" s="132"/>
      <c r="F151" s="132"/>
      <c r="G151" s="133"/>
      <c r="H151" s="40"/>
      <c r="I151" s="40"/>
      <c r="J151" s="136"/>
      <c r="K151" s="66"/>
    </row>
    <row r="152" spans="3:11" x14ac:dyDescent="0.25">
      <c r="C152" s="66"/>
      <c r="E152" s="132"/>
      <c r="F152" s="132"/>
      <c r="G152" s="133"/>
      <c r="H152" s="40"/>
      <c r="I152" s="40"/>
      <c r="J152" s="136"/>
      <c r="K152" s="66"/>
    </row>
    <row r="153" spans="3:11" x14ac:dyDescent="0.25">
      <c r="C153" s="66"/>
      <c r="E153" s="132"/>
      <c r="F153" s="132"/>
      <c r="G153" s="133"/>
      <c r="H153" s="40"/>
      <c r="I153" s="40"/>
      <c r="J153" s="136"/>
      <c r="K153" s="66"/>
    </row>
    <row r="154" spans="3:11" x14ac:dyDescent="0.25">
      <c r="C154" s="66"/>
      <c r="E154" s="132"/>
      <c r="F154" s="132"/>
      <c r="G154" s="133"/>
      <c r="H154" s="40"/>
      <c r="I154" s="40"/>
      <c r="J154" s="136"/>
      <c r="K154" s="66"/>
    </row>
    <row r="155" spans="3:11" x14ac:dyDescent="0.25">
      <c r="C155" s="66"/>
      <c r="E155" s="132"/>
      <c r="F155" s="132"/>
      <c r="G155" s="133"/>
      <c r="H155" s="40"/>
      <c r="I155" s="40"/>
      <c r="J155" s="136"/>
      <c r="K155" s="66"/>
    </row>
    <row r="156" spans="3:11" x14ac:dyDescent="0.25">
      <c r="C156" s="66"/>
      <c r="E156" s="132"/>
      <c r="F156" s="132"/>
      <c r="G156" s="133"/>
      <c r="H156" s="40"/>
      <c r="I156" s="40"/>
      <c r="J156" s="136"/>
      <c r="K156" s="66"/>
    </row>
    <row r="157" spans="3:11" x14ac:dyDescent="0.25">
      <c r="C157" s="66"/>
      <c r="E157" s="132"/>
      <c r="F157" s="132"/>
      <c r="G157" s="133"/>
      <c r="H157" s="40"/>
      <c r="I157" s="40"/>
      <c r="J157" s="136"/>
      <c r="K157" s="66"/>
    </row>
    <row r="158" spans="3:11" x14ac:dyDescent="0.25">
      <c r="C158" s="66"/>
      <c r="E158" s="132"/>
      <c r="F158" s="132"/>
      <c r="G158" s="133"/>
      <c r="H158" s="40"/>
      <c r="I158" s="40"/>
      <c r="J158" s="136"/>
      <c r="K158" s="66"/>
    </row>
    <row r="159" spans="3:11" x14ac:dyDescent="0.25">
      <c r="C159" s="66"/>
      <c r="E159" s="132"/>
      <c r="F159" s="132"/>
      <c r="G159" s="133"/>
      <c r="H159" s="40"/>
      <c r="I159" s="40"/>
      <c r="J159" s="136"/>
      <c r="K159" s="66"/>
    </row>
    <row r="160" spans="3:11" x14ac:dyDescent="0.25">
      <c r="C160" s="66"/>
      <c r="E160" s="132"/>
      <c r="F160" s="132"/>
      <c r="G160" s="133"/>
      <c r="H160" s="40"/>
      <c r="I160" s="40"/>
      <c r="J160" s="136"/>
      <c r="K160" s="66"/>
    </row>
    <row r="161" spans="3:11" x14ac:dyDescent="0.25">
      <c r="C161" s="66"/>
      <c r="E161" s="132"/>
      <c r="F161" s="132"/>
      <c r="G161" s="133"/>
      <c r="H161" s="40"/>
      <c r="I161" s="40"/>
      <c r="J161" s="136"/>
      <c r="K161" s="66"/>
    </row>
    <row r="162" spans="3:11" x14ac:dyDescent="0.25">
      <c r="C162" s="66"/>
      <c r="E162" s="132"/>
      <c r="F162" s="132"/>
      <c r="G162" s="133"/>
      <c r="H162" s="40"/>
      <c r="I162" s="40"/>
      <c r="J162" s="136"/>
      <c r="K162" s="66"/>
    </row>
    <row r="163" spans="3:11" x14ac:dyDescent="0.25">
      <c r="C163" s="66"/>
      <c r="E163" s="132"/>
      <c r="F163" s="132"/>
      <c r="G163" s="133"/>
      <c r="H163" s="40"/>
      <c r="I163" s="40"/>
      <c r="J163" s="136"/>
      <c r="K163" s="66"/>
    </row>
    <row r="164" spans="3:11" x14ac:dyDescent="0.25">
      <c r="C164" s="66"/>
      <c r="E164" s="132"/>
      <c r="F164" s="132"/>
      <c r="G164" s="133"/>
      <c r="H164" s="40"/>
      <c r="I164" s="40"/>
      <c r="J164" s="136"/>
      <c r="K164" s="66"/>
    </row>
    <row r="165" spans="3:11" x14ac:dyDescent="0.25">
      <c r="C165" s="66"/>
      <c r="E165" s="132"/>
      <c r="F165" s="132"/>
      <c r="G165" s="133"/>
      <c r="H165" s="40"/>
      <c r="I165" s="40"/>
      <c r="J165" s="136"/>
      <c r="K165" s="66"/>
    </row>
    <row r="166" spans="3:11" x14ac:dyDescent="0.25">
      <c r="C166" s="66"/>
      <c r="E166" s="132"/>
      <c r="F166" s="132"/>
      <c r="G166" s="133"/>
      <c r="H166" s="40"/>
      <c r="I166" s="40"/>
      <c r="J166" s="136"/>
      <c r="K166" s="66"/>
    </row>
    <row r="167" spans="3:11" x14ac:dyDescent="0.25">
      <c r="C167" s="66"/>
      <c r="E167" s="132"/>
      <c r="F167" s="132"/>
      <c r="G167" s="133"/>
      <c r="H167" s="40"/>
      <c r="I167" s="40"/>
      <c r="J167" s="136"/>
      <c r="K167" s="66"/>
    </row>
    <row r="168" spans="3:11" x14ac:dyDescent="0.25">
      <c r="C168" s="66"/>
      <c r="E168" s="132"/>
      <c r="F168" s="132"/>
      <c r="G168" s="133"/>
      <c r="H168" s="40"/>
      <c r="I168" s="40"/>
      <c r="J168" s="136"/>
      <c r="K168" s="66"/>
    </row>
    <row r="169" spans="3:11" x14ac:dyDescent="0.25">
      <c r="C169" s="66"/>
      <c r="E169" s="132"/>
      <c r="F169" s="132"/>
      <c r="G169" s="133"/>
      <c r="H169" s="40"/>
      <c r="I169" s="40"/>
      <c r="J169" s="136"/>
      <c r="K169" s="66"/>
    </row>
    <row r="170" spans="3:11" x14ac:dyDescent="0.25">
      <c r="C170" s="66"/>
      <c r="E170" s="132"/>
      <c r="F170" s="132"/>
      <c r="G170" s="133"/>
      <c r="H170" s="40"/>
      <c r="I170" s="40"/>
      <c r="J170" s="136"/>
      <c r="K170" s="66"/>
    </row>
    <row r="171" spans="3:11" x14ac:dyDescent="0.25">
      <c r="C171" s="66"/>
      <c r="E171" s="132"/>
      <c r="F171" s="132"/>
      <c r="G171" s="133"/>
      <c r="H171" s="40"/>
      <c r="I171" s="40"/>
      <c r="J171" s="136"/>
      <c r="K171" s="66"/>
    </row>
    <row r="172" spans="3:11" x14ac:dyDescent="0.25">
      <c r="C172" s="66"/>
      <c r="E172" s="132"/>
      <c r="F172" s="132"/>
      <c r="G172" s="133"/>
      <c r="H172" s="40"/>
      <c r="I172" s="40"/>
      <c r="J172" s="136"/>
      <c r="K172" s="66"/>
    </row>
    <row r="173" spans="3:11" x14ac:dyDescent="0.25">
      <c r="C173" s="66"/>
      <c r="E173" s="132"/>
      <c r="F173" s="132"/>
      <c r="G173" s="133"/>
      <c r="H173" s="40"/>
      <c r="I173" s="40"/>
      <c r="J173" s="136"/>
      <c r="K173" s="66"/>
    </row>
    <row r="174" spans="3:11" x14ac:dyDescent="0.25">
      <c r="C174" s="66"/>
      <c r="E174" s="132"/>
      <c r="F174" s="132"/>
      <c r="G174" s="133"/>
      <c r="H174" s="40"/>
      <c r="I174" s="40"/>
      <c r="J174" s="136"/>
      <c r="K174" s="66"/>
    </row>
    <row r="175" spans="3:11" x14ac:dyDescent="0.25">
      <c r="C175" s="66"/>
      <c r="E175" s="132"/>
      <c r="F175" s="132"/>
      <c r="G175" s="133"/>
      <c r="H175" s="40"/>
      <c r="I175" s="40"/>
      <c r="J175" s="136"/>
      <c r="K175" s="66"/>
    </row>
    <row r="176" spans="3:11" x14ac:dyDescent="0.25">
      <c r="C176" s="66"/>
      <c r="E176" s="132"/>
      <c r="F176" s="132"/>
      <c r="G176" s="133"/>
      <c r="H176" s="40"/>
      <c r="I176" s="40"/>
      <c r="J176" s="136"/>
      <c r="K176" s="66"/>
    </row>
    <row r="177" spans="3:11" x14ac:dyDescent="0.25">
      <c r="C177" s="66"/>
      <c r="E177" s="132"/>
      <c r="F177" s="132"/>
      <c r="G177" s="133"/>
      <c r="H177" s="40"/>
      <c r="I177" s="40"/>
      <c r="J177" s="136"/>
      <c r="K177" s="66"/>
    </row>
    <row r="178" spans="3:11" x14ac:dyDescent="0.25">
      <c r="C178" s="66"/>
      <c r="E178" s="132"/>
      <c r="F178" s="132"/>
      <c r="G178" s="133"/>
      <c r="H178" s="40"/>
      <c r="I178" s="40"/>
      <c r="J178" s="136"/>
      <c r="K178" s="66"/>
    </row>
    <row r="179" spans="3:11" x14ac:dyDescent="0.25">
      <c r="C179" s="66"/>
      <c r="E179" s="132"/>
      <c r="F179" s="132"/>
      <c r="G179" s="133"/>
      <c r="H179" s="40"/>
      <c r="I179" s="40"/>
      <c r="J179" s="136"/>
      <c r="K179" s="66"/>
    </row>
    <row r="180" spans="3:11" x14ac:dyDescent="0.25">
      <c r="C180" s="66"/>
      <c r="E180" s="132"/>
      <c r="F180" s="132"/>
      <c r="G180" s="133"/>
      <c r="H180" s="40"/>
      <c r="I180" s="40"/>
      <c r="J180" s="136"/>
      <c r="K180" s="66"/>
    </row>
    <row r="181" spans="3:11" x14ac:dyDescent="0.25">
      <c r="C181" s="66"/>
      <c r="E181" s="132"/>
      <c r="F181" s="132"/>
      <c r="G181" s="133"/>
      <c r="H181" s="40"/>
      <c r="I181" s="40"/>
      <c r="J181" s="136"/>
      <c r="K181" s="66"/>
    </row>
    <row r="182" spans="3:11" x14ac:dyDescent="0.25">
      <c r="C182" s="66"/>
      <c r="E182" s="132"/>
      <c r="F182" s="132"/>
      <c r="G182" s="133"/>
      <c r="H182" s="40"/>
      <c r="I182" s="40"/>
      <c r="J182" s="136"/>
      <c r="K182" s="66"/>
    </row>
    <row r="183" spans="3:11" x14ac:dyDescent="0.25">
      <c r="C183" s="66"/>
      <c r="E183" s="132"/>
      <c r="F183" s="132"/>
      <c r="G183" s="133"/>
      <c r="H183" s="40"/>
      <c r="I183" s="40"/>
      <c r="J183" s="136"/>
      <c r="K183" s="66"/>
    </row>
    <row r="184" spans="3:11" x14ac:dyDescent="0.25">
      <c r="C184" s="66"/>
      <c r="E184" s="132"/>
      <c r="F184" s="132"/>
      <c r="G184" s="133"/>
      <c r="H184" s="40"/>
      <c r="I184" s="40"/>
      <c r="J184" s="136"/>
      <c r="K184" s="66"/>
    </row>
    <row r="185" spans="3:11" x14ac:dyDescent="0.25">
      <c r="C185" s="66"/>
      <c r="E185" s="132"/>
      <c r="F185" s="132"/>
      <c r="G185" s="133"/>
      <c r="H185" s="40"/>
      <c r="I185" s="40"/>
      <c r="J185" s="136"/>
      <c r="K185" s="66"/>
    </row>
    <row r="186" spans="3:11" x14ac:dyDescent="0.25">
      <c r="C186" s="66"/>
      <c r="E186" s="132"/>
      <c r="F186" s="132"/>
      <c r="G186" s="133"/>
      <c r="H186" s="40"/>
      <c r="I186" s="40"/>
      <c r="J186" s="136"/>
      <c r="K186" s="66"/>
    </row>
    <row r="187" spans="3:11" x14ac:dyDescent="0.25">
      <c r="C187" s="66"/>
      <c r="E187" s="132"/>
      <c r="F187" s="132"/>
      <c r="G187" s="133"/>
      <c r="H187" s="40"/>
      <c r="I187" s="40"/>
      <c r="J187" s="136"/>
      <c r="K187" s="66"/>
    </row>
    <row r="188" spans="3:11" x14ac:dyDescent="0.25">
      <c r="C188" s="66"/>
      <c r="E188" s="132"/>
      <c r="F188" s="132"/>
      <c r="G188" s="133"/>
      <c r="H188" s="40"/>
      <c r="I188" s="40"/>
      <c r="J188" s="136"/>
      <c r="K188" s="66"/>
    </row>
    <row r="189" spans="3:11" x14ac:dyDescent="0.25">
      <c r="C189" s="66"/>
      <c r="E189" s="132"/>
      <c r="F189" s="132"/>
      <c r="G189" s="133"/>
      <c r="H189" s="40"/>
      <c r="I189" s="40"/>
      <c r="J189" s="136"/>
      <c r="K189" s="66"/>
    </row>
    <row r="190" spans="3:11" x14ac:dyDescent="0.25">
      <c r="C190" s="66"/>
      <c r="E190" s="132"/>
      <c r="F190" s="132"/>
      <c r="G190" s="133"/>
      <c r="H190" s="40"/>
      <c r="I190" s="40"/>
      <c r="J190" s="136"/>
      <c r="K190" s="66"/>
    </row>
    <row r="191" spans="3:11" x14ac:dyDescent="0.25">
      <c r="C191" s="66"/>
      <c r="E191" s="132"/>
      <c r="F191" s="132"/>
      <c r="G191" s="133"/>
      <c r="H191" s="40"/>
      <c r="I191" s="40"/>
      <c r="J191" s="136"/>
      <c r="K191" s="66"/>
    </row>
    <row r="192" spans="3:11" x14ac:dyDescent="0.25">
      <c r="C192" s="66"/>
      <c r="E192" s="132"/>
      <c r="F192" s="132"/>
      <c r="G192" s="133"/>
      <c r="H192" s="40"/>
      <c r="I192" s="40"/>
      <c r="J192" s="136"/>
      <c r="K192" s="66"/>
    </row>
    <row r="193" spans="3:11" x14ac:dyDescent="0.25">
      <c r="C193" s="66"/>
      <c r="E193" s="132"/>
      <c r="F193" s="132"/>
      <c r="G193" s="133"/>
      <c r="H193" s="40"/>
      <c r="I193" s="40"/>
      <c r="J193" s="136"/>
      <c r="K193" s="66"/>
    </row>
    <row r="194" spans="3:11" x14ac:dyDescent="0.25">
      <c r="C194" s="66"/>
      <c r="E194" s="132"/>
      <c r="F194" s="132"/>
      <c r="G194" s="133"/>
      <c r="H194" s="40"/>
      <c r="I194" s="40"/>
      <c r="J194" s="136"/>
      <c r="K194" s="66"/>
    </row>
    <row r="195" spans="3:11" x14ac:dyDescent="0.25">
      <c r="C195" s="66"/>
      <c r="E195" s="132"/>
      <c r="F195" s="132"/>
      <c r="G195" s="133"/>
      <c r="H195" s="40"/>
      <c r="I195" s="40"/>
      <c r="J195" s="136"/>
      <c r="K195" s="66"/>
    </row>
    <row r="196" spans="3:11" x14ac:dyDescent="0.25">
      <c r="C196" s="66"/>
      <c r="E196" s="132"/>
      <c r="F196" s="132"/>
      <c r="G196" s="133"/>
      <c r="H196" s="40"/>
      <c r="I196" s="40"/>
      <c r="J196" s="136"/>
      <c r="K196" s="66"/>
    </row>
    <row r="197" spans="3:11" x14ac:dyDescent="0.25">
      <c r="C197" s="66"/>
      <c r="E197" s="132"/>
      <c r="F197" s="132"/>
      <c r="G197" s="133"/>
      <c r="H197" s="40"/>
      <c r="I197" s="40"/>
      <c r="J197" s="136"/>
      <c r="K197" s="66"/>
    </row>
    <row r="198" spans="3:11" x14ac:dyDescent="0.25">
      <c r="C198" s="66"/>
      <c r="E198" s="132"/>
      <c r="F198" s="132"/>
      <c r="G198" s="133"/>
      <c r="H198" s="40"/>
      <c r="I198" s="40"/>
      <c r="J198" s="136"/>
      <c r="K198" s="66"/>
    </row>
    <row r="199" spans="3:11" x14ac:dyDescent="0.25">
      <c r="C199" s="66"/>
      <c r="E199" s="132"/>
      <c r="F199" s="132"/>
      <c r="G199" s="133"/>
      <c r="H199" s="40"/>
      <c r="I199" s="40"/>
      <c r="J199" s="136"/>
      <c r="K199" s="66"/>
    </row>
    <row r="200" spans="3:11" x14ac:dyDescent="0.25">
      <c r="C200" s="66"/>
      <c r="E200" s="132"/>
      <c r="F200" s="132"/>
      <c r="G200" s="133"/>
      <c r="H200" s="40"/>
      <c r="I200" s="40"/>
      <c r="J200" s="136"/>
      <c r="K200" s="66"/>
    </row>
    <row r="201" spans="3:11" x14ac:dyDescent="0.25">
      <c r="C201" s="66"/>
      <c r="E201" s="132"/>
      <c r="F201" s="132"/>
      <c r="G201" s="133"/>
      <c r="H201" s="40"/>
      <c r="I201" s="40"/>
      <c r="J201" s="136"/>
      <c r="K201" s="66"/>
    </row>
    <row r="202" spans="3:11" x14ac:dyDescent="0.25">
      <c r="C202" s="66"/>
      <c r="E202" s="132"/>
      <c r="F202" s="132"/>
      <c r="G202" s="133"/>
      <c r="H202" s="40"/>
      <c r="I202" s="40"/>
      <c r="J202" s="136"/>
      <c r="K202" s="66"/>
    </row>
    <row r="203" spans="3:11" x14ac:dyDescent="0.25">
      <c r="C203" s="66"/>
      <c r="E203" s="132"/>
      <c r="F203" s="132"/>
      <c r="G203" s="133"/>
      <c r="H203" s="40"/>
      <c r="I203" s="40"/>
      <c r="J203" s="136"/>
      <c r="K203" s="66"/>
    </row>
    <row r="204" spans="3:11" x14ac:dyDescent="0.25">
      <c r="C204" s="66"/>
      <c r="E204" s="132"/>
      <c r="F204" s="132"/>
      <c r="G204" s="133"/>
      <c r="H204" s="40"/>
      <c r="I204" s="40"/>
      <c r="J204" s="136"/>
      <c r="K204" s="66"/>
    </row>
    <row r="205" spans="3:11" x14ac:dyDescent="0.25">
      <c r="C205" s="66"/>
      <c r="E205" s="132"/>
      <c r="F205" s="132"/>
      <c r="G205" s="133"/>
      <c r="H205" s="40"/>
      <c r="I205" s="40"/>
      <c r="J205" s="136"/>
      <c r="K205" s="66"/>
    </row>
    <row r="206" spans="3:11" x14ac:dyDescent="0.25">
      <c r="C206" s="66"/>
      <c r="E206" s="132"/>
      <c r="F206" s="132"/>
      <c r="G206" s="133"/>
      <c r="H206" s="40"/>
      <c r="I206" s="40"/>
      <c r="J206" s="136"/>
      <c r="K206" s="66"/>
    </row>
    <row r="207" spans="3:11" x14ac:dyDescent="0.25">
      <c r="C207" s="66"/>
      <c r="E207" s="132"/>
      <c r="F207" s="132"/>
      <c r="G207" s="133"/>
      <c r="H207" s="40"/>
      <c r="I207" s="40"/>
      <c r="J207" s="136"/>
      <c r="K207" s="66"/>
    </row>
    <row r="208" spans="3:11" x14ac:dyDescent="0.25">
      <c r="C208" s="66"/>
      <c r="E208" s="132"/>
      <c r="F208" s="132"/>
      <c r="G208" s="133"/>
      <c r="H208" s="40"/>
      <c r="I208" s="40"/>
      <c r="J208" s="136"/>
      <c r="K208" s="66"/>
    </row>
    <row r="209" spans="3:11" x14ac:dyDescent="0.25">
      <c r="C209" s="66"/>
      <c r="E209" s="132"/>
      <c r="F209" s="132"/>
      <c r="G209" s="133"/>
      <c r="H209" s="40"/>
      <c r="I209" s="40"/>
      <c r="J209" s="136"/>
      <c r="K209" s="66"/>
    </row>
    <row r="210" spans="3:11" x14ac:dyDescent="0.25">
      <c r="C210" s="66"/>
      <c r="E210" s="132"/>
      <c r="F210" s="132"/>
      <c r="G210" s="133"/>
      <c r="H210" s="40"/>
      <c r="I210" s="40"/>
      <c r="J210" s="136"/>
      <c r="K210" s="66"/>
    </row>
    <row r="211" spans="3:11" x14ac:dyDescent="0.25">
      <c r="C211" s="66"/>
      <c r="E211" s="132"/>
      <c r="F211" s="132"/>
      <c r="G211" s="133"/>
      <c r="H211" s="40"/>
      <c r="I211" s="40"/>
      <c r="J211" s="136"/>
      <c r="K211" s="66"/>
    </row>
    <row r="212" spans="3:11" x14ac:dyDescent="0.25">
      <c r="C212" s="66"/>
      <c r="E212" s="132"/>
      <c r="F212" s="132"/>
      <c r="G212" s="133"/>
      <c r="H212" s="40"/>
      <c r="I212" s="40"/>
      <c r="J212" s="136"/>
      <c r="K212" s="66"/>
    </row>
    <row r="213" spans="3:11" x14ac:dyDescent="0.25">
      <c r="C213" s="66"/>
      <c r="E213" s="132"/>
      <c r="F213" s="132"/>
      <c r="G213" s="133"/>
      <c r="H213" s="40"/>
      <c r="I213" s="40"/>
      <c r="J213" s="136"/>
      <c r="K213" s="66"/>
    </row>
    <row r="214" spans="3:11" x14ac:dyDescent="0.25">
      <c r="C214" s="66"/>
      <c r="E214" s="132"/>
      <c r="F214" s="132"/>
      <c r="G214" s="133"/>
      <c r="H214" s="40"/>
      <c r="I214" s="40"/>
      <c r="J214" s="136"/>
      <c r="K214" s="66"/>
    </row>
    <row r="215" spans="3:11" x14ac:dyDescent="0.25">
      <c r="C215" s="66"/>
      <c r="E215" s="132"/>
      <c r="F215" s="132"/>
      <c r="G215" s="133"/>
      <c r="H215" s="40"/>
      <c r="I215" s="40"/>
      <c r="J215" s="136"/>
      <c r="K215" s="66"/>
    </row>
    <row r="216" spans="3:11" x14ac:dyDescent="0.25">
      <c r="C216" s="66"/>
      <c r="E216" s="132"/>
      <c r="F216" s="132"/>
      <c r="G216" s="133"/>
      <c r="H216" s="40"/>
      <c r="I216" s="40"/>
      <c r="J216" s="136"/>
      <c r="K216" s="66"/>
    </row>
    <row r="217" spans="3:11" x14ac:dyDescent="0.25">
      <c r="C217" s="66"/>
      <c r="E217" s="132"/>
      <c r="F217" s="132"/>
      <c r="G217" s="133"/>
      <c r="H217" s="40"/>
      <c r="I217" s="40"/>
      <c r="J217" s="136"/>
      <c r="K217" s="66"/>
    </row>
    <row r="218" spans="3:11" x14ac:dyDescent="0.25">
      <c r="C218" s="66"/>
      <c r="E218" s="132"/>
      <c r="F218" s="132"/>
      <c r="G218" s="133"/>
      <c r="H218" s="40"/>
      <c r="I218" s="40"/>
      <c r="J218" s="136"/>
      <c r="K218" s="66"/>
    </row>
    <row r="219" spans="3:11" x14ac:dyDescent="0.25">
      <c r="C219" s="66"/>
      <c r="E219" s="132"/>
      <c r="F219" s="132"/>
      <c r="G219" s="133"/>
      <c r="H219" s="40"/>
      <c r="I219" s="40"/>
      <c r="J219" s="136"/>
      <c r="K219" s="66"/>
    </row>
    <row r="220" spans="3:11" x14ac:dyDescent="0.25">
      <c r="C220" s="66"/>
      <c r="E220" s="132"/>
      <c r="F220" s="132"/>
      <c r="G220" s="133"/>
      <c r="H220" s="40"/>
      <c r="I220" s="40"/>
      <c r="J220" s="136"/>
      <c r="K220" s="66"/>
    </row>
    <row r="221" spans="3:11" x14ac:dyDescent="0.25">
      <c r="C221" s="66"/>
      <c r="E221" s="132"/>
      <c r="F221" s="132"/>
      <c r="G221" s="133"/>
      <c r="H221" s="40"/>
      <c r="I221" s="40"/>
      <c r="J221" s="136"/>
      <c r="K221" s="66"/>
    </row>
    <row r="222" spans="3:11" x14ac:dyDescent="0.25">
      <c r="C222" s="66"/>
      <c r="E222" s="132"/>
      <c r="F222" s="132"/>
      <c r="G222" s="133"/>
      <c r="H222" s="40"/>
      <c r="I222" s="40"/>
      <c r="J222" s="136"/>
      <c r="K222" s="66"/>
    </row>
    <row r="223" spans="3:11" x14ac:dyDescent="0.25">
      <c r="C223" s="66"/>
      <c r="E223" s="132"/>
      <c r="F223" s="132"/>
      <c r="G223" s="133"/>
      <c r="H223" s="40"/>
      <c r="I223" s="40"/>
      <c r="J223" s="136"/>
      <c r="K223" s="66"/>
    </row>
    <row r="224" spans="3:11" x14ac:dyDescent="0.25">
      <c r="C224" s="66"/>
      <c r="E224" s="132"/>
      <c r="F224" s="132"/>
      <c r="G224" s="133"/>
      <c r="H224" s="40"/>
      <c r="I224" s="40"/>
      <c r="J224" s="136"/>
      <c r="K224" s="66"/>
    </row>
    <row r="225" spans="3:11" x14ac:dyDescent="0.25">
      <c r="C225" s="66"/>
      <c r="E225" s="132"/>
      <c r="F225" s="132"/>
      <c r="G225" s="133"/>
      <c r="H225" s="40"/>
      <c r="I225" s="40"/>
      <c r="J225" s="136"/>
      <c r="K225" s="66"/>
    </row>
    <row r="226" spans="3:11" x14ac:dyDescent="0.25">
      <c r="C226" s="66"/>
      <c r="E226" s="132"/>
      <c r="F226" s="132"/>
      <c r="G226" s="133"/>
      <c r="H226" s="40"/>
      <c r="I226" s="40"/>
      <c r="J226" s="136"/>
      <c r="K226" s="66"/>
    </row>
    <row r="227" spans="3:11" x14ac:dyDescent="0.25">
      <c r="C227" s="66"/>
      <c r="E227" s="132"/>
      <c r="F227" s="132"/>
      <c r="G227" s="133"/>
      <c r="H227" s="40"/>
      <c r="I227" s="40"/>
      <c r="J227" s="136"/>
      <c r="K227" s="66"/>
    </row>
    <row r="228" spans="3:11" x14ac:dyDescent="0.25">
      <c r="C228" s="66"/>
      <c r="E228" s="132"/>
      <c r="F228" s="132"/>
      <c r="G228" s="133"/>
      <c r="H228" s="40"/>
      <c r="I228" s="40"/>
      <c r="J228" s="136"/>
      <c r="K228" s="66"/>
    </row>
    <row r="229" spans="3:11" x14ac:dyDescent="0.25">
      <c r="C229" s="66"/>
      <c r="E229" s="132"/>
      <c r="F229" s="132"/>
      <c r="G229" s="133"/>
      <c r="H229" s="40"/>
      <c r="I229" s="40"/>
      <c r="J229" s="136"/>
      <c r="K229" s="66"/>
    </row>
    <row r="230" spans="3:11" x14ac:dyDescent="0.25">
      <c r="C230" s="66"/>
      <c r="E230" s="132"/>
      <c r="F230" s="132"/>
      <c r="G230" s="133"/>
      <c r="H230" s="40"/>
      <c r="I230" s="40"/>
      <c r="J230" s="136"/>
      <c r="K230" s="66"/>
    </row>
    <row r="231" spans="3:11" x14ac:dyDescent="0.25">
      <c r="C231" s="66"/>
      <c r="E231" s="132"/>
      <c r="F231" s="132"/>
      <c r="G231" s="133"/>
      <c r="H231" s="40"/>
      <c r="I231" s="40"/>
      <c r="J231" s="136"/>
      <c r="K231" s="66"/>
    </row>
    <row r="232" spans="3:11" x14ac:dyDescent="0.25">
      <c r="C232" s="66"/>
      <c r="E232" s="132"/>
      <c r="F232" s="132"/>
      <c r="G232" s="133"/>
      <c r="H232" s="40"/>
      <c r="I232" s="40"/>
      <c r="J232" s="136"/>
      <c r="K232" s="66"/>
    </row>
    <row r="233" spans="3:11" x14ac:dyDescent="0.25">
      <c r="C233" s="66"/>
      <c r="E233" s="132"/>
      <c r="F233" s="132"/>
      <c r="G233" s="133"/>
      <c r="H233" s="40"/>
      <c r="I233" s="40"/>
      <c r="J233" s="136"/>
      <c r="K233" s="66"/>
    </row>
    <row r="234" spans="3:11" x14ac:dyDescent="0.25">
      <c r="C234" s="66"/>
      <c r="E234" s="132"/>
      <c r="F234" s="132"/>
      <c r="G234" s="133"/>
      <c r="H234" s="40"/>
      <c r="I234" s="40"/>
      <c r="J234" s="136"/>
      <c r="K234" s="66"/>
    </row>
    <row r="235" spans="3:11" x14ac:dyDescent="0.25">
      <c r="C235" s="66"/>
      <c r="E235" s="132"/>
      <c r="F235" s="132"/>
      <c r="G235" s="133"/>
      <c r="H235" s="40"/>
      <c r="I235" s="40"/>
      <c r="J235" s="136"/>
      <c r="K235" s="66"/>
    </row>
    <row r="236" spans="3:11" x14ac:dyDescent="0.25">
      <c r="C236" s="66"/>
      <c r="E236" s="132"/>
      <c r="F236" s="132"/>
      <c r="G236" s="133"/>
      <c r="H236" s="40"/>
      <c r="I236" s="40"/>
      <c r="J236" s="136"/>
      <c r="K236" s="66"/>
    </row>
    <row r="237" spans="3:11" x14ac:dyDescent="0.25">
      <c r="C237" s="66"/>
      <c r="E237" s="132"/>
      <c r="F237" s="132"/>
      <c r="G237" s="133"/>
      <c r="H237" s="40"/>
      <c r="I237" s="40"/>
      <c r="J237" s="136"/>
      <c r="K237" s="66"/>
    </row>
    <row r="238" spans="3:11" x14ac:dyDescent="0.25">
      <c r="C238" s="66"/>
      <c r="E238" s="132"/>
      <c r="F238" s="132"/>
      <c r="G238" s="133"/>
      <c r="H238" s="40"/>
      <c r="I238" s="40"/>
      <c r="J238" s="136"/>
      <c r="K238" s="66"/>
    </row>
    <row r="239" spans="3:11" x14ac:dyDescent="0.25">
      <c r="C239" s="66"/>
      <c r="E239" s="132"/>
      <c r="F239" s="132"/>
      <c r="G239" s="133"/>
      <c r="H239" s="40"/>
      <c r="I239" s="40"/>
      <c r="J239" s="136"/>
      <c r="K239" s="66"/>
    </row>
    <row r="240" spans="3:11" x14ac:dyDescent="0.25">
      <c r="C240" s="66"/>
      <c r="E240" s="132"/>
      <c r="F240" s="132"/>
      <c r="G240" s="133"/>
      <c r="H240" s="40"/>
      <c r="I240" s="40"/>
      <c r="J240" s="136"/>
      <c r="K240" s="66"/>
    </row>
    <row r="241" spans="3:11" x14ac:dyDescent="0.25">
      <c r="C241" s="66"/>
      <c r="E241" s="132"/>
      <c r="F241" s="132"/>
      <c r="G241" s="133"/>
      <c r="H241" s="40"/>
      <c r="I241" s="40"/>
      <c r="J241" s="136"/>
      <c r="K241" s="66"/>
    </row>
    <row r="242" spans="3:11" x14ac:dyDescent="0.25">
      <c r="C242" s="66"/>
      <c r="E242" s="132"/>
      <c r="F242" s="132"/>
      <c r="G242" s="133"/>
      <c r="H242" s="40"/>
      <c r="I242" s="40"/>
      <c r="J242" s="136"/>
      <c r="K242" s="66"/>
    </row>
    <row r="243" spans="3:11" x14ac:dyDescent="0.25">
      <c r="C243" s="66"/>
      <c r="E243" s="132"/>
      <c r="F243" s="132"/>
      <c r="G243" s="133"/>
      <c r="H243" s="40"/>
      <c r="I243" s="40"/>
      <c r="J243" s="136"/>
      <c r="K243" s="66"/>
    </row>
    <row r="244" spans="3:11" x14ac:dyDescent="0.25">
      <c r="C244" s="66"/>
      <c r="E244" s="132"/>
      <c r="F244" s="132"/>
      <c r="G244" s="133"/>
      <c r="H244" s="40"/>
      <c r="I244" s="40"/>
      <c r="J244" s="136"/>
      <c r="K244" s="66"/>
    </row>
    <row r="245" spans="3:11" x14ac:dyDescent="0.25">
      <c r="C245" s="66"/>
      <c r="E245" s="132"/>
      <c r="F245" s="132"/>
      <c r="G245" s="133"/>
      <c r="H245" s="40"/>
      <c r="I245" s="40"/>
      <c r="J245" s="136"/>
      <c r="K245" s="66"/>
    </row>
    <row r="246" spans="3:11" x14ac:dyDescent="0.25">
      <c r="C246" s="66"/>
      <c r="E246" s="132"/>
      <c r="F246" s="132"/>
      <c r="G246" s="133"/>
      <c r="H246" s="40"/>
      <c r="I246" s="40"/>
      <c r="J246" s="136"/>
      <c r="K246" s="66"/>
    </row>
    <row r="247" spans="3:11" x14ac:dyDescent="0.25">
      <c r="C247" s="66"/>
      <c r="E247" s="132"/>
      <c r="F247" s="132"/>
      <c r="G247" s="133"/>
      <c r="H247" s="40"/>
      <c r="I247" s="40"/>
      <c r="J247" s="136"/>
      <c r="K247" s="66"/>
    </row>
    <row r="248" spans="3:11" x14ac:dyDescent="0.25">
      <c r="C248" s="66"/>
      <c r="E248" s="132"/>
      <c r="F248" s="132"/>
      <c r="G248" s="133"/>
      <c r="H248" s="40"/>
      <c r="I248" s="40"/>
      <c r="J248" s="136"/>
      <c r="K248" s="66"/>
    </row>
    <row r="249" spans="3:11" x14ac:dyDescent="0.25">
      <c r="C249" s="66"/>
      <c r="E249" s="132"/>
      <c r="F249" s="132"/>
      <c r="G249" s="133"/>
      <c r="H249" s="40"/>
      <c r="I249" s="40"/>
      <c r="J249" s="136"/>
      <c r="K249" s="66"/>
    </row>
    <row r="250" spans="3:11" x14ac:dyDescent="0.25">
      <c r="C250" s="66"/>
      <c r="E250" s="132"/>
      <c r="F250" s="132"/>
      <c r="G250" s="133"/>
      <c r="H250" s="40"/>
      <c r="I250" s="40"/>
      <c r="J250" s="136"/>
      <c r="K250" s="66"/>
    </row>
    <row r="251" spans="3:11" x14ac:dyDescent="0.25">
      <c r="C251" s="66"/>
      <c r="E251" s="132"/>
      <c r="F251" s="132"/>
      <c r="G251" s="133"/>
      <c r="H251" s="40"/>
      <c r="I251" s="40"/>
      <c r="J251" s="136"/>
      <c r="K251" s="66"/>
    </row>
    <row r="252" spans="3:11" x14ac:dyDescent="0.25">
      <c r="C252" s="66"/>
      <c r="E252" s="132"/>
      <c r="F252" s="132"/>
      <c r="G252" s="133"/>
      <c r="H252" s="40"/>
      <c r="I252" s="40"/>
      <c r="J252" s="136"/>
      <c r="K252" s="66"/>
    </row>
    <row r="253" spans="3:11" x14ac:dyDescent="0.25">
      <c r="C253" s="66"/>
      <c r="E253" s="132"/>
      <c r="F253" s="132"/>
      <c r="G253" s="133"/>
      <c r="H253" s="40"/>
      <c r="I253" s="40"/>
      <c r="J253" s="136"/>
      <c r="K253" s="66"/>
    </row>
    <row r="254" spans="3:11" x14ac:dyDescent="0.25">
      <c r="C254" s="66"/>
      <c r="E254" s="132"/>
      <c r="F254" s="132"/>
      <c r="G254" s="133"/>
      <c r="H254" s="40"/>
      <c r="I254" s="40"/>
      <c r="J254" s="136"/>
      <c r="K254" s="66"/>
    </row>
    <row r="255" spans="3:11" x14ac:dyDescent="0.25">
      <c r="C255" s="66"/>
      <c r="E255" s="132"/>
      <c r="F255" s="132"/>
      <c r="G255" s="133"/>
      <c r="H255" s="40"/>
      <c r="I255" s="40"/>
      <c r="J255" s="136"/>
      <c r="K255" s="66"/>
    </row>
    <row r="256" spans="3:11" x14ac:dyDescent="0.25">
      <c r="C256" s="66"/>
      <c r="E256" s="132"/>
      <c r="F256" s="132"/>
      <c r="G256" s="133"/>
      <c r="H256" s="40"/>
      <c r="I256" s="40"/>
      <c r="J256" s="136"/>
      <c r="K256" s="66"/>
    </row>
    <row r="257" spans="3:11" x14ac:dyDescent="0.25">
      <c r="C257" s="66"/>
      <c r="E257" s="132"/>
      <c r="F257" s="132"/>
      <c r="G257" s="133"/>
      <c r="H257" s="40"/>
      <c r="I257" s="40"/>
      <c r="J257" s="136"/>
      <c r="K257" s="66"/>
    </row>
    <row r="258" spans="3:11" x14ac:dyDescent="0.25">
      <c r="C258" s="66"/>
      <c r="E258" s="132"/>
      <c r="F258" s="132"/>
      <c r="G258" s="133"/>
      <c r="H258" s="40"/>
      <c r="I258" s="40"/>
      <c r="J258" s="136"/>
      <c r="K258" s="66"/>
    </row>
    <row r="259" spans="3:11" x14ac:dyDescent="0.25">
      <c r="C259" s="66"/>
      <c r="E259" s="132"/>
      <c r="F259" s="132"/>
      <c r="G259" s="133"/>
      <c r="H259" s="40"/>
      <c r="I259" s="40"/>
      <c r="J259" s="136"/>
      <c r="K259" s="66"/>
    </row>
    <row r="260" spans="3:11" x14ac:dyDescent="0.25">
      <c r="C260" s="66"/>
      <c r="E260" s="132"/>
      <c r="F260" s="132"/>
      <c r="G260" s="133"/>
      <c r="H260" s="40"/>
      <c r="I260" s="40"/>
      <c r="J260" s="136"/>
      <c r="K260" s="66"/>
    </row>
    <row r="261" spans="3:11" x14ac:dyDescent="0.25">
      <c r="C261" s="66"/>
      <c r="E261" s="132"/>
      <c r="F261" s="132"/>
      <c r="G261" s="133"/>
      <c r="H261" s="40"/>
      <c r="I261" s="40"/>
      <c r="J261" s="136"/>
      <c r="K261" s="66"/>
    </row>
    <row r="262" spans="3:11" x14ac:dyDescent="0.25">
      <c r="C262" s="66"/>
      <c r="E262" s="132"/>
      <c r="F262" s="132"/>
      <c r="G262" s="133"/>
      <c r="H262" s="40"/>
      <c r="I262" s="40"/>
      <c r="J262" s="136"/>
      <c r="K262" s="66"/>
    </row>
    <row r="263" spans="3:11" x14ac:dyDescent="0.25">
      <c r="C263" s="66"/>
      <c r="E263" s="132"/>
      <c r="F263" s="132"/>
      <c r="G263" s="133"/>
      <c r="H263" s="40"/>
      <c r="I263" s="40"/>
      <c r="J263" s="136"/>
      <c r="K263" s="66"/>
    </row>
    <row r="264" spans="3:11" x14ac:dyDescent="0.25">
      <c r="C264" s="66"/>
      <c r="E264" s="132"/>
      <c r="F264" s="132"/>
      <c r="G264" s="133"/>
      <c r="H264" s="40"/>
      <c r="I264" s="40"/>
      <c r="J264" s="136"/>
      <c r="K264" s="66"/>
    </row>
    <row r="265" spans="3:11" x14ac:dyDescent="0.25">
      <c r="C265" s="66"/>
      <c r="E265" s="132"/>
      <c r="F265" s="132"/>
      <c r="G265" s="133"/>
      <c r="H265" s="40"/>
      <c r="I265" s="40"/>
      <c r="J265" s="136"/>
      <c r="K265" s="66"/>
    </row>
    <row r="266" spans="3:11" x14ac:dyDescent="0.25">
      <c r="C266" s="66"/>
      <c r="E266" s="132"/>
      <c r="F266" s="132"/>
      <c r="G266" s="133"/>
      <c r="H266" s="40"/>
      <c r="I266" s="40"/>
      <c r="J266" s="136"/>
      <c r="K266" s="66"/>
    </row>
    <row r="267" spans="3:11" x14ac:dyDescent="0.25">
      <c r="C267" s="66"/>
      <c r="E267" s="132"/>
      <c r="F267" s="132"/>
      <c r="G267" s="133"/>
      <c r="H267" s="40"/>
      <c r="I267" s="40"/>
      <c r="J267" s="136"/>
      <c r="K267" s="66"/>
    </row>
    <row r="268" spans="3:11" x14ac:dyDescent="0.25">
      <c r="C268" s="66"/>
      <c r="E268" s="132"/>
      <c r="F268" s="132"/>
      <c r="G268" s="133"/>
      <c r="H268" s="40"/>
      <c r="I268" s="40"/>
      <c r="J268" s="136"/>
      <c r="K268" s="66"/>
    </row>
    <row r="269" spans="3:11" x14ac:dyDescent="0.25">
      <c r="C269" s="66"/>
      <c r="E269" s="132"/>
      <c r="F269" s="132"/>
      <c r="G269" s="133"/>
      <c r="H269" s="40"/>
      <c r="I269" s="40"/>
      <c r="J269" s="136"/>
      <c r="K269" s="66"/>
    </row>
    <row r="270" spans="3:11" x14ac:dyDescent="0.25">
      <c r="C270" s="66"/>
      <c r="E270" s="132"/>
      <c r="F270" s="132"/>
      <c r="G270" s="133"/>
      <c r="H270" s="40"/>
      <c r="I270" s="40"/>
      <c r="J270" s="136"/>
      <c r="K270" s="66"/>
    </row>
    <row r="271" spans="3:11" x14ac:dyDescent="0.25">
      <c r="C271" s="66"/>
      <c r="E271" s="132"/>
      <c r="F271" s="132"/>
      <c r="G271" s="133"/>
      <c r="H271" s="40"/>
      <c r="I271" s="40"/>
      <c r="J271" s="136"/>
      <c r="K271" s="66"/>
    </row>
    <row r="272" spans="3:11" x14ac:dyDescent="0.25">
      <c r="C272" s="66"/>
      <c r="E272" s="132"/>
      <c r="F272" s="132"/>
      <c r="G272" s="133"/>
      <c r="H272" s="40"/>
      <c r="I272" s="40"/>
      <c r="J272" s="136"/>
      <c r="K272" s="66"/>
    </row>
    <row r="273" spans="3:11" x14ac:dyDescent="0.25">
      <c r="C273" s="66"/>
      <c r="E273" s="132"/>
      <c r="F273" s="132"/>
      <c r="G273" s="133"/>
      <c r="H273" s="40"/>
      <c r="I273" s="40"/>
      <c r="J273" s="136"/>
      <c r="K273" s="66"/>
    </row>
    <row r="274" spans="3:11" x14ac:dyDescent="0.25">
      <c r="C274" s="66"/>
      <c r="E274" s="132"/>
      <c r="F274" s="132"/>
      <c r="G274" s="133"/>
      <c r="H274" s="40"/>
      <c r="I274" s="40"/>
      <c r="J274" s="136"/>
      <c r="K274" s="66"/>
    </row>
    <row r="275" spans="3:11" x14ac:dyDescent="0.25">
      <c r="C275" s="66"/>
      <c r="E275" s="132"/>
      <c r="F275" s="132"/>
      <c r="G275" s="133"/>
      <c r="H275" s="40"/>
      <c r="I275" s="40"/>
      <c r="J275" s="136"/>
      <c r="K275" s="66"/>
    </row>
    <row r="276" spans="3:11" x14ac:dyDescent="0.25">
      <c r="C276" s="66"/>
      <c r="E276" s="132"/>
      <c r="F276" s="132"/>
      <c r="G276" s="133"/>
      <c r="H276" s="40"/>
      <c r="I276" s="40"/>
      <c r="J276" s="136"/>
      <c r="K276" s="66"/>
    </row>
    <row r="277" spans="3:11" x14ac:dyDescent="0.25">
      <c r="C277" s="66"/>
      <c r="E277" s="132"/>
      <c r="F277" s="132"/>
      <c r="G277" s="133"/>
      <c r="H277" s="40"/>
      <c r="I277" s="40"/>
      <c r="J277" s="136"/>
      <c r="K277" s="66"/>
    </row>
    <row r="278" spans="3:11" x14ac:dyDescent="0.25">
      <c r="C278" s="66"/>
      <c r="E278" s="132"/>
      <c r="F278" s="132"/>
      <c r="G278" s="133"/>
      <c r="H278" s="40"/>
      <c r="I278" s="40"/>
      <c r="J278" s="136"/>
      <c r="K278" s="66"/>
    </row>
    <row r="279" spans="3:11" x14ac:dyDescent="0.25">
      <c r="C279" s="66"/>
      <c r="E279" s="132"/>
      <c r="F279" s="132"/>
      <c r="G279" s="133"/>
      <c r="H279" s="40"/>
      <c r="I279" s="40"/>
      <c r="J279" s="136"/>
      <c r="K279" s="66"/>
    </row>
    <row r="280" spans="3:11" x14ac:dyDescent="0.25">
      <c r="C280" s="66"/>
      <c r="E280" s="132"/>
      <c r="F280" s="132"/>
      <c r="G280" s="133"/>
      <c r="H280" s="40"/>
      <c r="I280" s="40"/>
      <c r="J280" s="136"/>
      <c r="K280" s="66"/>
    </row>
    <row r="281" spans="3:11" x14ac:dyDescent="0.25">
      <c r="C281" s="66"/>
      <c r="E281" s="132"/>
      <c r="F281" s="132"/>
      <c r="G281" s="133"/>
      <c r="H281" s="40"/>
      <c r="I281" s="40"/>
      <c r="J281" s="136"/>
      <c r="K281" s="66"/>
    </row>
    <row r="282" spans="3:11" x14ac:dyDescent="0.25">
      <c r="C282" s="66"/>
      <c r="E282" s="132"/>
      <c r="F282" s="132"/>
      <c r="G282" s="133"/>
      <c r="H282" s="40"/>
      <c r="I282" s="40"/>
      <c r="J282" s="136"/>
      <c r="K282" s="66"/>
    </row>
    <row r="283" spans="3:11" x14ac:dyDescent="0.25">
      <c r="C283" s="66"/>
      <c r="E283" s="132"/>
      <c r="F283" s="132"/>
      <c r="G283" s="133"/>
      <c r="H283" s="40"/>
      <c r="I283" s="40"/>
      <c r="J283" s="136"/>
      <c r="K283" s="66"/>
    </row>
    <row r="284" spans="3:11" x14ac:dyDescent="0.25">
      <c r="C284" s="66"/>
      <c r="E284" s="132"/>
      <c r="F284" s="132"/>
      <c r="G284" s="133"/>
      <c r="H284" s="40"/>
      <c r="I284" s="40"/>
      <c r="J284" s="136"/>
      <c r="K284" s="66"/>
    </row>
    <row r="285" spans="3:11" x14ac:dyDescent="0.25">
      <c r="C285" s="66"/>
      <c r="E285" s="132"/>
      <c r="F285" s="132"/>
      <c r="G285" s="133"/>
      <c r="H285" s="40"/>
      <c r="I285" s="40"/>
      <c r="J285" s="136"/>
      <c r="K285" s="66"/>
    </row>
    <row r="286" spans="3:11" x14ac:dyDescent="0.25">
      <c r="C286" s="66"/>
      <c r="E286" s="132"/>
      <c r="F286" s="132"/>
      <c r="G286" s="133"/>
      <c r="H286" s="40"/>
      <c r="I286" s="40"/>
      <c r="J286" s="136"/>
      <c r="K286" s="66"/>
    </row>
    <row r="287" spans="3:11" x14ac:dyDescent="0.25">
      <c r="C287" s="66"/>
      <c r="E287" s="132"/>
      <c r="F287" s="132"/>
      <c r="G287" s="133"/>
      <c r="H287" s="40"/>
      <c r="I287" s="40"/>
      <c r="J287" s="136"/>
      <c r="K287" s="66"/>
    </row>
    <row r="288" spans="3:11" x14ac:dyDescent="0.25">
      <c r="C288" s="66"/>
      <c r="E288" s="132"/>
      <c r="F288" s="132"/>
      <c r="G288" s="133"/>
      <c r="H288" s="40"/>
      <c r="I288" s="40"/>
      <c r="J288" s="136"/>
      <c r="K288" s="66"/>
    </row>
    <row r="289" spans="3:11" x14ac:dyDescent="0.25">
      <c r="C289" s="66"/>
      <c r="E289" s="132"/>
      <c r="F289" s="132"/>
      <c r="G289" s="133"/>
      <c r="H289" s="40"/>
      <c r="I289" s="40"/>
      <c r="J289" s="136"/>
      <c r="K289" s="66"/>
    </row>
    <row r="290" spans="3:11" x14ac:dyDescent="0.25">
      <c r="C290" s="66"/>
      <c r="E290" s="132"/>
      <c r="F290" s="132"/>
      <c r="G290" s="133"/>
      <c r="H290" s="40"/>
      <c r="I290" s="40"/>
      <c r="J290" s="136"/>
      <c r="K290" s="66"/>
    </row>
    <row r="291" spans="3:11" x14ac:dyDescent="0.25">
      <c r="C291" s="66"/>
      <c r="E291" s="132"/>
      <c r="F291" s="132"/>
      <c r="G291" s="133"/>
      <c r="H291" s="40"/>
      <c r="I291" s="40"/>
      <c r="J291" s="136"/>
      <c r="K291" s="66"/>
    </row>
    <row r="292" spans="3:11" x14ac:dyDescent="0.25">
      <c r="C292" s="66"/>
      <c r="E292" s="132"/>
      <c r="F292" s="132"/>
      <c r="G292" s="133"/>
      <c r="H292" s="40"/>
      <c r="I292" s="40"/>
      <c r="J292" s="136"/>
      <c r="K292" s="66"/>
    </row>
    <row r="293" spans="3:11" x14ac:dyDescent="0.25">
      <c r="C293" s="66"/>
      <c r="E293" s="132"/>
      <c r="F293" s="132"/>
      <c r="G293" s="133"/>
      <c r="H293" s="40"/>
      <c r="I293" s="40"/>
      <c r="J293" s="136"/>
      <c r="K293" s="66"/>
    </row>
    <row r="294" spans="3:11" x14ac:dyDescent="0.25">
      <c r="C294" s="66"/>
      <c r="E294" s="132"/>
      <c r="F294" s="132"/>
      <c r="G294" s="133"/>
      <c r="H294" s="40"/>
      <c r="I294" s="40"/>
      <c r="J294" s="136"/>
      <c r="K294" s="66"/>
    </row>
    <row r="295" spans="3:11" x14ac:dyDescent="0.25">
      <c r="C295" s="66"/>
      <c r="E295" s="132"/>
      <c r="F295" s="132"/>
      <c r="G295" s="133"/>
      <c r="H295" s="40"/>
      <c r="I295" s="40"/>
      <c r="J295" s="136"/>
      <c r="K295" s="66"/>
    </row>
    <row r="296" spans="3:11" x14ac:dyDescent="0.25">
      <c r="C296" s="66"/>
      <c r="E296" s="132"/>
      <c r="F296" s="132"/>
      <c r="G296" s="133"/>
      <c r="H296" s="40"/>
      <c r="I296" s="40"/>
      <c r="J296" s="136"/>
      <c r="K296" s="66"/>
    </row>
    <row r="297" spans="3:11" x14ac:dyDescent="0.25">
      <c r="C297" s="66"/>
      <c r="E297" s="132"/>
      <c r="F297" s="132"/>
      <c r="G297" s="133"/>
      <c r="H297" s="40"/>
      <c r="I297" s="40"/>
      <c r="J297" s="136"/>
      <c r="K297" s="66"/>
    </row>
    <row r="298" spans="3:11" x14ac:dyDescent="0.25">
      <c r="C298" s="66"/>
      <c r="E298" s="132"/>
      <c r="F298" s="132"/>
      <c r="G298" s="133"/>
      <c r="H298" s="40"/>
      <c r="I298" s="40"/>
      <c r="J298" s="136"/>
      <c r="K298" s="66"/>
    </row>
    <row r="299" spans="3:11" x14ac:dyDescent="0.25">
      <c r="C299" s="66"/>
      <c r="E299" s="132"/>
      <c r="F299" s="132"/>
      <c r="G299" s="133"/>
      <c r="H299" s="40"/>
      <c r="I299" s="40"/>
      <c r="J299" s="136"/>
      <c r="K299" s="66"/>
    </row>
    <row r="300" spans="3:11" x14ac:dyDescent="0.25">
      <c r="C300" s="66"/>
      <c r="E300" s="132"/>
      <c r="F300" s="132"/>
      <c r="G300" s="133"/>
      <c r="H300" s="40"/>
      <c r="I300" s="40"/>
      <c r="J300" s="136"/>
      <c r="K300" s="66"/>
    </row>
    <row r="301" spans="3:11" x14ac:dyDescent="0.25">
      <c r="C301" s="66"/>
      <c r="E301" s="132"/>
      <c r="F301" s="132"/>
      <c r="G301" s="133"/>
      <c r="H301" s="40"/>
      <c r="I301" s="40"/>
      <c r="J301" s="136"/>
      <c r="K301" s="66"/>
    </row>
    <row r="302" spans="3:11" x14ac:dyDescent="0.25">
      <c r="C302" s="66"/>
      <c r="E302" s="132"/>
      <c r="F302" s="132"/>
      <c r="G302" s="133"/>
      <c r="H302" s="40"/>
      <c r="I302" s="40"/>
      <c r="J302" s="136"/>
      <c r="K302" s="66"/>
    </row>
    <row r="303" spans="3:11" x14ac:dyDescent="0.25">
      <c r="C303" s="66"/>
      <c r="E303" s="132"/>
      <c r="F303" s="132"/>
      <c r="G303" s="133"/>
      <c r="H303" s="40"/>
      <c r="I303" s="40"/>
      <c r="J303" s="136"/>
      <c r="K303" s="66"/>
    </row>
    <row r="304" spans="3:11" x14ac:dyDescent="0.25">
      <c r="C304" s="66"/>
      <c r="E304" s="132"/>
      <c r="F304" s="132"/>
      <c r="G304" s="133"/>
      <c r="H304" s="40"/>
      <c r="I304" s="40"/>
      <c r="J304" s="136"/>
      <c r="K304" s="66"/>
    </row>
    <row r="305" spans="3:11" x14ac:dyDescent="0.25">
      <c r="C305" s="66"/>
      <c r="E305" s="132"/>
      <c r="F305" s="132"/>
      <c r="G305" s="133"/>
      <c r="H305" s="40"/>
      <c r="I305" s="40"/>
      <c r="J305" s="136"/>
      <c r="K305" s="66"/>
    </row>
    <row r="306" spans="3:11" x14ac:dyDescent="0.25">
      <c r="C306" s="66"/>
      <c r="E306" s="132"/>
      <c r="F306" s="132"/>
      <c r="G306" s="133"/>
      <c r="H306" s="40"/>
      <c r="I306" s="40"/>
      <c r="J306" s="136"/>
      <c r="K306" s="66"/>
    </row>
    <row r="307" spans="3:11" x14ac:dyDescent="0.25">
      <c r="C307" s="66"/>
      <c r="E307" s="132"/>
      <c r="F307" s="132"/>
      <c r="G307" s="133"/>
      <c r="H307" s="40"/>
      <c r="I307" s="40"/>
      <c r="J307" s="136"/>
      <c r="K307" s="66"/>
    </row>
    <row r="308" spans="3:11" x14ac:dyDescent="0.25">
      <c r="C308" s="66"/>
      <c r="E308" s="132"/>
      <c r="F308" s="132"/>
      <c r="G308" s="133"/>
      <c r="H308" s="40"/>
      <c r="I308" s="40"/>
      <c r="J308" s="136"/>
      <c r="K308" s="66"/>
    </row>
    <row r="309" spans="3:11" x14ac:dyDescent="0.25">
      <c r="C309" s="66"/>
      <c r="E309" s="132"/>
      <c r="F309" s="132"/>
      <c r="G309" s="133"/>
      <c r="H309" s="40"/>
      <c r="I309" s="40"/>
      <c r="J309" s="136"/>
      <c r="K309" s="66"/>
    </row>
    <row r="310" spans="3:11" x14ac:dyDescent="0.25">
      <c r="C310" s="66"/>
      <c r="E310" s="132"/>
      <c r="F310" s="132"/>
      <c r="G310" s="133"/>
      <c r="H310" s="40"/>
      <c r="I310" s="40"/>
      <c r="J310" s="136"/>
      <c r="K310" s="66"/>
    </row>
    <row r="311" spans="3:11" x14ac:dyDescent="0.25">
      <c r="C311" s="66"/>
      <c r="E311" s="132"/>
      <c r="F311" s="132"/>
      <c r="G311" s="133"/>
      <c r="H311" s="40"/>
      <c r="I311" s="40"/>
      <c r="J311" s="136"/>
      <c r="K311" s="66"/>
    </row>
    <row r="312" spans="3:11" x14ac:dyDescent="0.25">
      <c r="C312" s="66"/>
      <c r="E312" s="132"/>
      <c r="F312" s="132"/>
      <c r="G312" s="133"/>
      <c r="H312" s="40"/>
      <c r="I312" s="40"/>
      <c r="J312" s="136"/>
      <c r="K312" s="66"/>
    </row>
    <row r="313" spans="3:11" x14ac:dyDescent="0.25">
      <c r="C313" s="66"/>
      <c r="E313" s="132"/>
      <c r="F313" s="132"/>
      <c r="G313" s="133"/>
      <c r="H313" s="40"/>
      <c r="I313" s="40"/>
      <c r="J313" s="136"/>
      <c r="K313" s="66"/>
    </row>
    <row r="314" spans="3:11" x14ac:dyDescent="0.25">
      <c r="C314" s="66"/>
      <c r="E314" s="132"/>
      <c r="F314" s="132"/>
      <c r="G314" s="133"/>
      <c r="H314" s="40"/>
      <c r="I314" s="40"/>
      <c r="J314" s="136"/>
      <c r="K314" s="66"/>
    </row>
    <row r="315" spans="3:11" x14ac:dyDescent="0.25">
      <c r="C315" s="66"/>
      <c r="E315" s="132"/>
      <c r="F315" s="132"/>
      <c r="G315" s="133"/>
      <c r="H315" s="40"/>
      <c r="I315" s="40"/>
      <c r="J315" s="136"/>
      <c r="K315" s="66"/>
    </row>
    <row r="316" spans="3:11" x14ac:dyDescent="0.25">
      <c r="C316" s="66"/>
      <c r="E316" s="132"/>
      <c r="F316" s="132"/>
      <c r="G316" s="133"/>
      <c r="H316" s="40"/>
      <c r="I316" s="40"/>
      <c r="J316" s="136"/>
      <c r="K316" s="66"/>
    </row>
    <row r="317" spans="3:11" x14ac:dyDescent="0.25">
      <c r="C317" s="66"/>
      <c r="E317" s="132"/>
      <c r="F317" s="132"/>
      <c r="G317" s="133"/>
      <c r="H317" s="40"/>
      <c r="I317" s="40"/>
      <c r="J317" s="136"/>
      <c r="K317" s="66"/>
    </row>
    <row r="318" spans="3:11" x14ac:dyDescent="0.25">
      <c r="C318" s="66"/>
      <c r="E318" s="132"/>
      <c r="F318" s="132"/>
      <c r="G318" s="133"/>
      <c r="H318" s="40"/>
      <c r="I318" s="40"/>
      <c r="J318" s="136"/>
      <c r="K318" s="66"/>
    </row>
    <row r="319" spans="3:11" x14ac:dyDescent="0.25">
      <c r="C319" s="66"/>
      <c r="E319" s="132"/>
      <c r="F319" s="132"/>
      <c r="G319" s="133"/>
      <c r="H319" s="40"/>
      <c r="I319" s="40"/>
      <c r="J319" s="136"/>
      <c r="K319" s="66"/>
    </row>
    <row r="320" spans="3:11" x14ac:dyDescent="0.25">
      <c r="C320" s="66"/>
      <c r="E320" s="132"/>
      <c r="F320" s="132"/>
      <c r="G320" s="133"/>
      <c r="H320" s="40"/>
      <c r="I320" s="40"/>
      <c r="J320" s="136"/>
      <c r="K320" s="66"/>
    </row>
    <row r="321" spans="3:11" x14ac:dyDescent="0.25">
      <c r="C321" s="66"/>
      <c r="E321" s="132"/>
      <c r="F321" s="132"/>
      <c r="G321" s="133"/>
      <c r="H321" s="40"/>
      <c r="I321" s="40"/>
      <c r="J321" s="136"/>
      <c r="K321" s="66"/>
    </row>
    <row r="322" spans="3:11" x14ac:dyDescent="0.25">
      <c r="C322" s="66"/>
      <c r="E322" s="132"/>
      <c r="F322" s="132"/>
      <c r="G322" s="133"/>
      <c r="H322" s="40"/>
      <c r="I322" s="40"/>
      <c r="J322" s="136"/>
      <c r="K322" s="66"/>
    </row>
    <row r="323" spans="3:11" x14ac:dyDescent="0.25">
      <c r="C323" s="66"/>
      <c r="E323" s="132"/>
      <c r="F323" s="132"/>
      <c r="G323" s="133"/>
      <c r="H323" s="40"/>
      <c r="I323" s="40"/>
      <c r="J323" s="136"/>
      <c r="K323" s="66"/>
    </row>
    <row r="324" spans="3:11" x14ac:dyDescent="0.25">
      <c r="C324" s="66"/>
      <c r="E324" s="132"/>
      <c r="F324" s="132"/>
      <c r="G324" s="133"/>
      <c r="H324" s="40"/>
      <c r="I324" s="40"/>
      <c r="J324" s="136"/>
      <c r="K324" s="66"/>
    </row>
    <row r="325" spans="3:11" x14ac:dyDescent="0.25">
      <c r="C325" s="66"/>
      <c r="E325" s="132"/>
      <c r="F325" s="132"/>
      <c r="G325" s="133"/>
      <c r="H325" s="40"/>
      <c r="I325" s="40"/>
      <c r="J325" s="136"/>
      <c r="K325" s="66"/>
    </row>
    <row r="326" spans="3:11" x14ac:dyDescent="0.25">
      <c r="C326" s="66"/>
      <c r="E326" s="132"/>
      <c r="F326" s="132"/>
      <c r="G326" s="133"/>
      <c r="H326" s="40"/>
      <c r="I326" s="40"/>
      <c r="J326" s="136"/>
      <c r="K326" s="66"/>
    </row>
    <row r="327" spans="3:11" x14ac:dyDescent="0.25">
      <c r="C327" s="66"/>
      <c r="E327" s="132"/>
      <c r="F327" s="132"/>
      <c r="G327" s="133"/>
      <c r="H327" s="40"/>
      <c r="I327" s="40"/>
      <c r="J327" s="136"/>
      <c r="K327" s="66"/>
    </row>
    <row r="328" spans="3:11" x14ac:dyDescent="0.25">
      <c r="C328" s="66"/>
      <c r="E328" s="132"/>
      <c r="F328" s="132"/>
      <c r="G328" s="133"/>
      <c r="H328" s="40"/>
      <c r="I328" s="40"/>
      <c r="J328" s="136"/>
      <c r="K328" s="66"/>
    </row>
    <row r="329" spans="3:11" x14ac:dyDescent="0.25">
      <c r="C329" s="66"/>
      <c r="E329" s="132"/>
      <c r="F329" s="132"/>
      <c r="G329" s="133"/>
      <c r="H329" s="40"/>
      <c r="I329" s="40"/>
      <c r="J329" s="136"/>
      <c r="K329" s="66"/>
    </row>
    <row r="330" spans="3:11" x14ac:dyDescent="0.25">
      <c r="C330" s="66"/>
      <c r="E330" s="132"/>
      <c r="F330" s="132"/>
      <c r="G330" s="133"/>
      <c r="H330" s="40"/>
      <c r="I330" s="40"/>
      <c r="J330" s="136"/>
      <c r="K330" s="66"/>
    </row>
    <row r="331" spans="3:11" x14ac:dyDescent="0.25">
      <c r="C331" s="66"/>
      <c r="E331" s="132"/>
      <c r="F331" s="132"/>
      <c r="G331" s="133"/>
      <c r="H331" s="40"/>
      <c r="I331" s="40"/>
      <c r="J331" s="136"/>
      <c r="K331" s="66"/>
    </row>
    <row r="332" spans="3:11" x14ac:dyDescent="0.25">
      <c r="C332" s="66"/>
      <c r="E332" s="132"/>
      <c r="F332" s="132"/>
      <c r="G332" s="133"/>
      <c r="H332" s="40"/>
      <c r="I332" s="40"/>
      <c r="J332" s="136"/>
      <c r="K332" s="66"/>
    </row>
    <row r="333" spans="3:11" x14ac:dyDescent="0.25">
      <c r="C333" s="66"/>
      <c r="E333" s="132"/>
      <c r="F333" s="132"/>
      <c r="G333" s="133"/>
      <c r="H333" s="40"/>
      <c r="I333" s="40"/>
      <c r="J333" s="136"/>
      <c r="K333" s="66"/>
    </row>
    <row r="334" spans="3:11" x14ac:dyDescent="0.25">
      <c r="C334" s="66"/>
      <c r="E334" s="132"/>
      <c r="F334" s="132"/>
      <c r="G334" s="133"/>
      <c r="H334" s="40"/>
      <c r="I334" s="40"/>
      <c r="J334" s="136"/>
      <c r="K334" s="66"/>
    </row>
    <row r="335" spans="3:11" x14ac:dyDescent="0.25">
      <c r="C335" s="66"/>
      <c r="E335" s="132"/>
      <c r="F335" s="132"/>
      <c r="G335" s="133"/>
      <c r="H335" s="40"/>
      <c r="I335" s="40"/>
      <c r="J335" s="136"/>
      <c r="K335" s="66"/>
    </row>
    <row r="336" spans="3:11" x14ac:dyDescent="0.25">
      <c r="C336" s="66"/>
      <c r="E336" s="132"/>
      <c r="F336" s="132"/>
      <c r="G336" s="133"/>
      <c r="H336" s="40"/>
      <c r="I336" s="40"/>
      <c r="J336" s="136"/>
      <c r="K336" s="66"/>
    </row>
    <row r="337" spans="3:11" x14ac:dyDescent="0.25">
      <c r="C337" s="66"/>
      <c r="E337" s="132"/>
      <c r="F337" s="132"/>
      <c r="G337" s="133"/>
      <c r="H337" s="40"/>
      <c r="I337" s="40"/>
      <c r="J337" s="136"/>
      <c r="K337" s="66"/>
    </row>
    <row r="338" spans="3:11" x14ac:dyDescent="0.25">
      <c r="C338" s="66"/>
      <c r="E338" s="132"/>
      <c r="F338" s="132"/>
      <c r="G338" s="133"/>
      <c r="H338" s="40"/>
      <c r="I338" s="40"/>
      <c r="J338" s="136"/>
      <c r="K338" s="66"/>
    </row>
    <row r="339" spans="3:11" x14ac:dyDescent="0.25">
      <c r="C339" s="66"/>
      <c r="E339" s="132"/>
      <c r="F339" s="132"/>
      <c r="G339" s="133"/>
      <c r="H339" s="40"/>
      <c r="I339" s="40"/>
      <c r="J339" s="136"/>
      <c r="K339" s="66"/>
    </row>
    <row r="340" spans="3:11" x14ac:dyDescent="0.25">
      <c r="C340" s="66"/>
      <c r="E340" s="132"/>
      <c r="F340" s="132"/>
      <c r="G340" s="133"/>
      <c r="H340" s="40"/>
      <c r="I340" s="40"/>
      <c r="J340" s="136"/>
      <c r="K340" s="66"/>
    </row>
    <row r="341" spans="3:11" x14ac:dyDescent="0.25">
      <c r="C341" s="66"/>
      <c r="E341" s="132"/>
      <c r="F341" s="132"/>
      <c r="G341" s="133"/>
      <c r="H341" s="40"/>
      <c r="I341" s="40"/>
      <c r="J341" s="136"/>
      <c r="K341" s="66"/>
    </row>
    <row r="342" spans="3:11" x14ac:dyDescent="0.25">
      <c r="C342" s="66"/>
      <c r="E342" s="132"/>
      <c r="F342" s="132"/>
      <c r="G342" s="133"/>
      <c r="H342" s="40"/>
      <c r="I342" s="40"/>
      <c r="J342" s="136"/>
      <c r="K342" s="66"/>
    </row>
    <row r="343" spans="3:11" x14ac:dyDescent="0.25">
      <c r="C343" s="66"/>
      <c r="E343" s="132"/>
      <c r="F343" s="132"/>
      <c r="G343" s="133"/>
      <c r="H343" s="40"/>
      <c r="I343" s="40"/>
      <c r="J343" s="136"/>
      <c r="K343" s="66"/>
    </row>
    <row r="344" spans="3:11" x14ac:dyDescent="0.25">
      <c r="C344" s="66"/>
      <c r="E344" s="132"/>
      <c r="F344" s="132"/>
      <c r="G344" s="133"/>
      <c r="H344" s="40"/>
      <c r="I344" s="40"/>
      <c r="J344" s="136"/>
      <c r="K344" s="66"/>
    </row>
    <row r="345" spans="3:11" x14ac:dyDescent="0.25">
      <c r="C345" s="66"/>
      <c r="E345" s="132"/>
      <c r="F345" s="132"/>
      <c r="G345" s="133"/>
      <c r="H345" s="40"/>
      <c r="I345" s="40"/>
      <c r="J345" s="136"/>
      <c r="K345" s="66"/>
    </row>
    <row r="346" spans="3:11" x14ac:dyDescent="0.25">
      <c r="C346" s="66"/>
      <c r="E346" s="132"/>
      <c r="F346" s="132"/>
      <c r="G346" s="133"/>
      <c r="H346" s="40"/>
      <c r="I346" s="40"/>
      <c r="J346" s="136"/>
      <c r="K346" s="66"/>
    </row>
    <row r="347" spans="3:11" x14ac:dyDescent="0.25">
      <c r="C347" s="66"/>
      <c r="E347" s="132"/>
      <c r="F347" s="132"/>
      <c r="G347" s="133"/>
      <c r="H347" s="40"/>
      <c r="I347" s="40"/>
      <c r="J347" s="136"/>
      <c r="K347" s="66"/>
    </row>
    <row r="348" spans="3:11" x14ac:dyDescent="0.25">
      <c r="C348" s="66"/>
      <c r="E348" s="132"/>
      <c r="F348" s="132"/>
      <c r="G348" s="133"/>
      <c r="H348" s="40"/>
      <c r="I348" s="40"/>
      <c r="J348" s="136"/>
      <c r="K348" s="66"/>
    </row>
    <row r="349" spans="3:11" x14ac:dyDescent="0.25">
      <c r="C349" s="66"/>
      <c r="E349" s="132"/>
      <c r="F349" s="132"/>
      <c r="G349" s="133"/>
      <c r="H349" s="40"/>
      <c r="I349" s="40"/>
      <c r="J349" s="136"/>
      <c r="K349" s="66"/>
    </row>
    <row r="350" spans="3:11" x14ac:dyDescent="0.25">
      <c r="C350" s="66"/>
      <c r="E350" s="132"/>
      <c r="F350" s="132"/>
      <c r="G350" s="133"/>
      <c r="H350" s="40"/>
      <c r="I350" s="40"/>
      <c r="J350" s="136"/>
      <c r="K350" s="66"/>
    </row>
    <row r="351" spans="3:11" x14ac:dyDescent="0.25">
      <c r="C351" s="66"/>
      <c r="E351" s="132"/>
      <c r="F351" s="132"/>
      <c r="G351" s="133"/>
      <c r="H351" s="40"/>
      <c r="I351" s="40"/>
      <c r="J351" s="136"/>
      <c r="K351" s="66"/>
    </row>
    <row r="352" spans="3:11" x14ac:dyDescent="0.25">
      <c r="C352" s="66"/>
      <c r="E352" s="132"/>
      <c r="F352" s="132"/>
      <c r="G352" s="133"/>
      <c r="H352" s="40"/>
      <c r="I352" s="40"/>
      <c r="J352" s="136"/>
      <c r="K352" s="66"/>
    </row>
    <row r="353" spans="3:11" x14ac:dyDescent="0.25">
      <c r="C353" s="66"/>
      <c r="E353" s="132"/>
      <c r="F353" s="132"/>
      <c r="G353" s="133"/>
      <c r="H353" s="40"/>
      <c r="I353" s="40"/>
      <c r="J353" s="136"/>
      <c r="K353" s="66"/>
    </row>
    <row r="354" spans="3:11" x14ac:dyDescent="0.25">
      <c r="C354" s="66"/>
      <c r="E354" s="132"/>
      <c r="F354" s="132"/>
      <c r="G354" s="133"/>
      <c r="H354" s="40"/>
      <c r="I354" s="40"/>
      <c r="J354" s="136"/>
      <c r="K354" s="66"/>
    </row>
    <row r="355" spans="3:11" x14ac:dyDescent="0.25">
      <c r="C355" s="66"/>
      <c r="E355" s="132"/>
      <c r="F355" s="132"/>
      <c r="G355" s="133"/>
      <c r="H355" s="40"/>
      <c r="I355" s="40"/>
      <c r="J355" s="136"/>
      <c r="K355" s="66"/>
    </row>
    <row r="356" spans="3:11" x14ac:dyDescent="0.25">
      <c r="C356" s="66"/>
      <c r="E356" s="132"/>
      <c r="F356" s="132"/>
      <c r="G356" s="133"/>
      <c r="H356" s="40"/>
      <c r="I356" s="40"/>
      <c r="J356" s="136"/>
      <c r="K356" s="66"/>
    </row>
    <row r="357" spans="3:11" x14ac:dyDescent="0.25">
      <c r="C357" s="66"/>
      <c r="E357" s="132"/>
      <c r="F357" s="132"/>
      <c r="G357" s="133"/>
      <c r="H357" s="40"/>
      <c r="I357" s="40"/>
      <c r="J357" s="136"/>
      <c r="K357" s="66"/>
    </row>
    <row r="358" spans="3:11" x14ac:dyDescent="0.25">
      <c r="C358" s="66"/>
      <c r="E358" s="132"/>
      <c r="F358" s="132"/>
      <c r="G358" s="133"/>
      <c r="H358" s="40"/>
      <c r="I358" s="40"/>
      <c r="J358" s="136"/>
      <c r="K358" s="66"/>
    </row>
    <row r="359" spans="3:11" x14ac:dyDescent="0.25">
      <c r="C359" s="66"/>
      <c r="E359" s="132"/>
      <c r="F359" s="132"/>
      <c r="G359" s="133"/>
      <c r="H359" s="40"/>
      <c r="I359" s="40"/>
      <c r="J359" s="136"/>
      <c r="K359" s="66"/>
    </row>
    <row r="360" spans="3:11" x14ac:dyDescent="0.25">
      <c r="C360" s="66"/>
      <c r="E360" s="132"/>
      <c r="F360" s="132"/>
      <c r="G360" s="133"/>
      <c r="H360" s="40"/>
      <c r="I360" s="40"/>
      <c r="J360" s="136"/>
      <c r="K360" s="66"/>
    </row>
    <row r="361" spans="3:11" x14ac:dyDescent="0.25">
      <c r="C361" s="66"/>
      <c r="E361" s="132"/>
      <c r="F361" s="132"/>
      <c r="G361" s="133"/>
      <c r="H361" s="40"/>
      <c r="I361" s="40"/>
      <c r="J361" s="136"/>
      <c r="K361" s="66"/>
    </row>
    <row r="362" spans="3:11" x14ac:dyDescent="0.25">
      <c r="C362" s="66"/>
      <c r="E362" s="132"/>
      <c r="F362" s="132"/>
      <c r="G362" s="133"/>
      <c r="H362" s="40"/>
      <c r="I362" s="40"/>
      <c r="J362" s="136"/>
      <c r="K362" s="66"/>
    </row>
    <row r="363" spans="3:11" x14ac:dyDescent="0.25">
      <c r="C363" s="66"/>
      <c r="E363" s="132"/>
      <c r="F363" s="132"/>
      <c r="G363" s="133"/>
      <c r="H363" s="40"/>
      <c r="I363" s="40"/>
      <c r="J363" s="136"/>
      <c r="K363" s="66"/>
    </row>
    <row r="364" spans="3:11" x14ac:dyDescent="0.25">
      <c r="C364" s="66"/>
      <c r="E364" s="132"/>
      <c r="F364" s="132"/>
      <c r="G364" s="133"/>
      <c r="H364" s="40"/>
      <c r="I364" s="40"/>
      <c r="J364" s="136"/>
      <c r="K364" s="66"/>
    </row>
    <row r="365" spans="3:11" x14ac:dyDescent="0.25">
      <c r="C365" s="66"/>
      <c r="E365" s="132"/>
      <c r="F365" s="132"/>
      <c r="G365" s="133"/>
      <c r="H365" s="40"/>
      <c r="I365" s="40"/>
      <c r="J365" s="136"/>
      <c r="K365" s="66"/>
    </row>
    <row r="366" spans="3:11" x14ac:dyDescent="0.25">
      <c r="C366" s="66"/>
      <c r="E366" s="132"/>
      <c r="F366" s="132"/>
      <c r="G366" s="133"/>
      <c r="H366" s="40"/>
      <c r="I366" s="40"/>
      <c r="J366" s="136"/>
      <c r="K366" s="66"/>
    </row>
    <row r="367" spans="3:11" x14ac:dyDescent="0.25">
      <c r="C367" s="66"/>
      <c r="E367" s="132"/>
      <c r="F367" s="132"/>
      <c r="G367" s="133"/>
      <c r="H367" s="40"/>
      <c r="I367" s="40"/>
      <c r="J367" s="136"/>
      <c r="K367" s="66"/>
    </row>
    <row r="368" spans="3:11" x14ac:dyDescent="0.25">
      <c r="C368" s="66"/>
      <c r="E368" s="132"/>
      <c r="F368" s="132"/>
      <c r="G368" s="133"/>
      <c r="H368" s="40"/>
      <c r="I368" s="40"/>
      <c r="J368" s="136"/>
      <c r="K368" s="66"/>
    </row>
    <row r="369" spans="3:11" x14ac:dyDescent="0.25">
      <c r="C369" s="66"/>
      <c r="E369" s="132"/>
      <c r="F369" s="132"/>
      <c r="G369" s="133"/>
      <c r="H369" s="40"/>
      <c r="I369" s="40"/>
      <c r="J369" s="136"/>
      <c r="K369" s="66"/>
    </row>
    <row r="370" spans="3:11" x14ac:dyDescent="0.25">
      <c r="C370" s="66"/>
      <c r="E370" s="132"/>
      <c r="F370" s="132"/>
      <c r="G370" s="133"/>
      <c r="H370" s="40"/>
      <c r="I370" s="40"/>
      <c r="J370" s="136"/>
      <c r="K370" s="66"/>
    </row>
    <row r="371" spans="3:11" x14ac:dyDescent="0.25">
      <c r="C371" s="66"/>
      <c r="E371" s="132"/>
      <c r="F371" s="132"/>
      <c r="G371" s="133"/>
      <c r="H371" s="40"/>
      <c r="I371" s="40"/>
      <c r="J371" s="136"/>
      <c r="K371" s="66"/>
    </row>
    <row r="372" spans="3:11" x14ac:dyDescent="0.25">
      <c r="C372" s="66"/>
      <c r="E372" s="132"/>
      <c r="F372" s="132"/>
      <c r="G372" s="133"/>
      <c r="H372" s="40"/>
      <c r="I372" s="40"/>
      <c r="J372" s="136"/>
      <c r="K372" s="66"/>
    </row>
    <row r="373" spans="3:11" x14ac:dyDescent="0.25">
      <c r="C373" s="66"/>
      <c r="E373" s="132"/>
      <c r="F373" s="132"/>
      <c r="G373" s="133"/>
      <c r="H373" s="40"/>
      <c r="I373" s="40"/>
      <c r="J373" s="136"/>
      <c r="K373" s="66"/>
    </row>
    <row r="374" spans="3:11" x14ac:dyDescent="0.25">
      <c r="C374" s="66"/>
      <c r="E374" s="132"/>
      <c r="F374" s="132"/>
      <c r="G374" s="133"/>
      <c r="H374" s="40"/>
      <c r="I374" s="40"/>
      <c r="J374" s="136"/>
      <c r="K374" s="66"/>
    </row>
    <row r="375" spans="3:11" x14ac:dyDescent="0.25">
      <c r="C375" s="66"/>
      <c r="E375" s="132"/>
      <c r="F375" s="132"/>
      <c r="G375" s="133"/>
      <c r="H375" s="40"/>
      <c r="I375" s="40"/>
      <c r="J375" s="136"/>
      <c r="K375" s="66"/>
    </row>
    <row r="376" spans="3:11" x14ac:dyDescent="0.25">
      <c r="C376" s="66"/>
      <c r="E376" s="132"/>
      <c r="F376" s="132"/>
      <c r="G376" s="133"/>
      <c r="H376" s="40"/>
      <c r="I376" s="40"/>
      <c r="J376" s="136"/>
      <c r="K376" s="66"/>
    </row>
    <row r="377" spans="3:11" x14ac:dyDescent="0.25">
      <c r="C377" s="66"/>
      <c r="E377" s="132"/>
      <c r="F377" s="132"/>
      <c r="G377" s="133"/>
      <c r="H377" s="40"/>
      <c r="I377" s="40"/>
      <c r="J377" s="136"/>
      <c r="K377" s="66"/>
    </row>
    <row r="378" spans="3:11" x14ac:dyDescent="0.25">
      <c r="C378" s="66"/>
      <c r="E378" s="132"/>
      <c r="F378" s="132"/>
      <c r="G378" s="133"/>
      <c r="H378" s="40"/>
      <c r="I378" s="40"/>
      <c r="J378" s="136"/>
      <c r="K378" s="66"/>
    </row>
    <row r="379" spans="3:11" x14ac:dyDescent="0.25">
      <c r="C379" s="66"/>
      <c r="E379" s="132"/>
      <c r="F379" s="132"/>
      <c r="G379" s="133"/>
      <c r="H379" s="40"/>
      <c r="I379" s="40"/>
      <c r="J379" s="136"/>
      <c r="K379" s="66"/>
    </row>
    <row r="380" spans="3:11" x14ac:dyDescent="0.25">
      <c r="C380" s="66"/>
      <c r="E380" s="132"/>
      <c r="F380" s="132"/>
      <c r="G380" s="133"/>
      <c r="H380" s="40"/>
      <c r="I380" s="40"/>
      <c r="J380" s="136"/>
      <c r="K380" s="66"/>
    </row>
    <row r="381" spans="3:11" x14ac:dyDescent="0.25">
      <c r="C381" s="66"/>
      <c r="E381" s="132"/>
      <c r="F381" s="132"/>
      <c r="G381" s="133"/>
      <c r="H381" s="40"/>
      <c r="I381" s="40"/>
      <c r="J381" s="136"/>
      <c r="K381" s="66"/>
    </row>
    <row r="382" spans="3:11" x14ac:dyDescent="0.25">
      <c r="C382" s="66"/>
      <c r="E382" s="132"/>
      <c r="F382" s="132"/>
      <c r="G382" s="133"/>
      <c r="H382" s="40"/>
      <c r="I382" s="40"/>
      <c r="J382" s="136"/>
      <c r="K382" s="66"/>
    </row>
    <row r="383" spans="3:11" x14ac:dyDescent="0.25">
      <c r="C383" s="66"/>
      <c r="E383" s="132"/>
      <c r="F383" s="132"/>
      <c r="G383" s="133"/>
      <c r="H383" s="40"/>
      <c r="I383" s="40"/>
      <c r="J383" s="136"/>
      <c r="K383" s="66"/>
    </row>
    <row r="384" spans="3:11" x14ac:dyDescent="0.25">
      <c r="C384" s="66"/>
      <c r="E384" s="132"/>
      <c r="F384" s="132"/>
      <c r="G384" s="133"/>
      <c r="H384" s="40"/>
      <c r="I384" s="40"/>
      <c r="J384" s="136"/>
      <c r="K384" s="66"/>
    </row>
    <row r="385" spans="3:11" x14ac:dyDescent="0.25">
      <c r="C385" s="66"/>
      <c r="E385" s="132"/>
      <c r="F385" s="132"/>
      <c r="G385" s="133"/>
      <c r="H385" s="40"/>
      <c r="I385" s="40"/>
      <c r="J385" s="136"/>
      <c r="K385" s="66"/>
    </row>
    <row r="386" spans="3:11" x14ac:dyDescent="0.25">
      <c r="C386" s="66"/>
      <c r="E386" s="132"/>
      <c r="F386" s="132"/>
      <c r="G386" s="133"/>
      <c r="H386" s="40"/>
      <c r="I386" s="40"/>
      <c r="J386" s="136"/>
      <c r="K386" s="66"/>
    </row>
    <row r="387" spans="3:11" x14ac:dyDescent="0.25">
      <c r="C387" s="66"/>
      <c r="E387" s="132"/>
      <c r="F387" s="132"/>
      <c r="G387" s="133"/>
      <c r="H387" s="40"/>
      <c r="I387" s="40"/>
      <c r="J387" s="136"/>
      <c r="K387" s="66"/>
    </row>
    <row r="388" spans="3:11" x14ac:dyDescent="0.25">
      <c r="C388" s="66"/>
      <c r="E388" s="132"/>
      <c r="F388" s="132"/>
      <c r="G388" s="133"/>
      <c r="H388" s="40"/>
      <c r="I388" s="40"/>
      <c r="J388" s="136"/>
      <c r="K388" s="66"/>
    </row>
    <row r="389" spans="3:11" x14ac:dyDescent="0.25">
      <c r="C389" s="66"/>
      <c r="E389" s="132"/>
      <c r="F389" s="132"/>
      <c r="G389" s="133"/>
      <c r="H389" s="40"/>
      <c r="I389" s="40"/>
      <c r="J389" s="136"/>
      <c r="K389" s="66"/>
    </row>
    <row r="390" spans="3:11" x14ac:dyDescent="0.25">
      <c r="C390" s="66"/>
      <c r="E390" s="132"/>
      <c r="F390" s="132"/>
      <c r="G390" s="133"/>
      <c r="H390" s="40"/>
      <c r="I390" s="40"/>
      <c r="J390" s="136"/>
      <c r="K390" s="66"/>
    </row>
    <row r="391" spans="3:11" x14ac:dyDescent="0.25">
      <c r="C391" s="66"/>
      <c r="E391" s="132"/>
      <c r="F391" s="132"/>
      <c r="G391" s="133"/>
      <c r="H391" s="40"/>
      <c r="I391" s="40"/>
      <c r="J391" s="136"/>
      <c r="K391" s="66"/>
    </row>
    <row r="392" spans="3:11" x14ac:dyDescent="0.25">
      <c r="C392" s="66"/>
      <c r="E392" s="132"/>
      <c r="F392" s="132"/>
      <c r="G392" s="133"/>
      <c r="H392" s="40"/>
      <c r="I392" s="40"/>
      <c r="J392" s="136"/>
      <c r="K392" s="66"/>
    </row>
    <row r="393" spans="3:11" x14ac:dyDescent="0.25">
      <c r="C393" s="66"/>
      <c r="E393" s="132"/>
      <c r="F393" s="132"/>
      <c r="G393" s="133"/>
      <c r="H393" s="40"/>
      <c r="I393" s="40"/>
      <c r="J393" s="136"/>
      <c r="K393" s="66"/>
    </row>
    <row r="394" spans="3:11" x14ac:dyDescent="0.25">
      <c r="C394" s="66"/>
      <c r="E394" s="132"/>
      <c r="F394" s="132"/>
      <c r="G394" s="133"/>
      <c r="H394" s="40"/>
      <c r="I394" s="40"/>
      <c r="J394" s="136"/>
      <c r="K394" s="66"/>
    </row>
    <row r="395" spans="3:11" x14ac:dyDescent="0.25">
      <c r="C395" s="66"/>
      <c r="E395" s="132"/>
      <c r="F395" s="132"/>
      <c r="G395" s="133"/>
      <c r="H395" s="40"/>
      <c r="I395" s="40"/>
      <c r="J395" s="136"/>
      <c r="K395" s="66"/>
    </row>
    <row r="396" spans="3:11" x14ac:dyDescent="0.25">
      <c r="C396" s="66"/>
      <c r="E396" s="132"/>
      <c r="F396" s="132"/>
      <c r="G396" s="133"/>
      <c r="H396" s="40"/>
      <c r="I396" s="40"/>
      <c r="J396" s="136"/>
      <c r="K396" s="66"/>
    </row>
    <row r="397" spans="3:11" x14ac:dyDescent="0.25">
      <c r="C397" s="66"/>
      <c r="E397" s="132"/>
      <c r="F397" s="132"/>
      <c r="G397" s="133"/>
      <c r="H397" s="40"/>
      <c r="I397" s="40"/>
      <c r="J397" s="136"/>
      <c r="K397" s="66"/>
    </row>
    <row r="398" spans="3:11" x14ac:dyDescent="0.25">
      <c r="C398" s="66"/>
      <c r="E398" s="132"/>
      <c r="F398" s="132"/>
      <c r="G398" s="133"/>
      <c r="H398" s="40"/>
      <c r="I398" s="40"/>
      <c r="J398" s="136"/>
      <c r="K398" s="66"/>
    </row>
    <row r="399" spans="3:11" x14ac:dyDescent="0.25">
      <c r="C399" s="66"/>
      <c r="E399" s="132"/>
      <c r="F399" s="132"/>
      <c r="G399" s="133"/>
      <c r="H399" s="40"/>
      <c r="I399" s="40"/>
      <c r="J399" s="136"/>
      <c r="K399" s="66"/>
    </row>
    <row r="400" spans="3:11" x14ac:dyDescent="0.25">
      <c r="C400" s="66"/>
      <c r="E400" s="132"/>
      <c r="F400" s="132"/>
      <c r="G400" s="133"/>
      <c r="H400" s="40"/>
      <c r="I400" s="40"/>
      <c r="J400" s="136"/>
      <c r="K400" s="66"/>
    </row>
    <row r="401" spans="3:11" x14ac:dyDescent="0.25">
      <c r="C401" s="66"/>
      <c r="E401" s="132"/>
      <c r="F401" s="132"/>
      <c r="G401" s="133"/>
      <c r="H401" s="40"/>
      <c r="I401" s="40"/>
      <c r="J401" s="136"/>
      <c r="K401" s="66"/>
    </row>
    <row r="402" spans="3:11" x14ac:dyDescent="0.25">
      <c r="C402" s="66"/>
      <c r="E402" s="132"/>
      <c r="F402" s="132"/>
      <c r="G402" s="133"/>
      <c r="H402" s="40"/>
      <c r="I402" s="40"/>
      <c r="J402" s="136"/>
      <c r="K402" s="66"/>
    </row>
    <row r="403" spans="3:11" x14ac:dyDescent="0.25">
      <c r="C403" s="66"/>
      <c r="E403" s="132"/>
      <c r="F403" s="132"/>
      <c r="G403" s="133"/>
      <c r="H403" s="40"/>
      <c r="I403" s="40"/>
      <c r="J403" s="136"/>
      <c r="K403" s="66"/>
    </row>
    <row r="404" spans="3:11" x14ac:dyDescent="0.25">
      <c r="C404" s="66"/>
      <c r="E404" s="132"/>
      <c r="F404" s="132"/>
      <c r="G404" s="133"/>
      <c r="H404" s="40"/>
      <c r="I404" s="40"/>
      <c r="J404" s="136"/>
      <c r="K404" s="66"/>
    </row>
    <row r="405" spans="3:11" x14ac:dyDescent="0.25">
      <c r="C405" s="66"/>
      <c r="E405" s="132"/>
      <c r="F405" s="132"/>
      <c r="G405" s="133"/>
      <c r="H405" s="40"/>
      <c r="I405" s="40"/>
      <c r="J405" s="136"/>
      <c r="K405" s="66"/>
    </row>
    <row r="406" spans="3:11" x14ac:dyDescent="0.25">
      <c r="C406" s="66"/>
      <c r="E406" s="132"/>
      <c r="F406" s="132"/>
      <c r="G406" s="133"/>
      <c r="H406" s="40"/>
      <c r="I406" s="40"/>
      <c r="J406" s="136"/>
      <c r="K406" s="66"/>
    </row>
    <row r="407" spans="3:11" x14ac:dyDescent="0.25">
      <c r="C407" s="66"/>
      <c r="E407" s="132"/>
      <c r="F407" s="132"/>
      <c r="G407" s="133"/>
      <c r="H407" s="40"/>
      <c r="I407" s="40"/>
      <c r="J407" s="136"/>
      <c r="K407" s="66"/>
    </row>
    <row r="408" spans="3:11" x14ac:dyDescent="0.25">
      <c r="C408" s="66"/>
      <c r="E408" s="132"/>
      <c r="F408" s="132"/>
      <c r="G408" s="133"/>
      <c r="H408" s="40"/>
      <c r="I408" s="40"/>
      <c r="J408" s="136"/>
      <c r="K408" s="66"/>
    </row>
    <row r="409" spans="3:11" x14ac:dyDescent="0.25">
      <c r="C409" s="66"/>
      <c r="E409" s="132"/>
      <c r="F409" s="132"/>
      <c r="G409" s="133"/>
      <c r="H409" s="40"/>
      <c r="I409" s="40"/>
      <c r="J409" s="136"/>
      <c r="K409" s="66"/>
    </row>
    <row r="410" spans="3:11" x14ac:dyDescent="0.25">
      <c r="C410" s="66"/>
      <c r="E410" s="132"/>
      <c r="F410" s="132"/>
      <c r="G410" s="133"/>
      <c r="H410" s="40"/>
      <c r="I410" s="40"/>
      <c r="J410" s="136"/>
      <c r="K410" s="66"/>
    </row>
    <row r="411" spans="3:11" x14ac:dyDescent="0.25">
      <c r="C411" s="66"/>
      <c r="E411" s="132"/>
      <c r="F411" s="132"/>
      <c r="G411" s="133"/>
      <c r="H411" s="40"/>
      <c r="I411" s="40"/>
      <c r="J411" s="136"/>
      <c r="K411" s="66"/>
    </row>
    <row r="412" spans="3:11" x14ac:dyDescent="0.25">
      <c r="C412" s="66"/>
      <c r="E412" s="132"/>
      <c r="F412" s="132"/>
      <c r="G412" s="133"/>
      <c r="H412" s="40"/>
      <c r="I412" s="40"/>
      <c r="J412" s="136"/>
      <c r="K412" s="66"/>
    </row>
    <row r="413" spans="3:11" x14ac:dyDescent="0.25">
      <c r="C413" s="66"/>
      <c r="E413" s="132"/>
      <c r="F413" s="132"/>
      <c r="G413" s="133"/>
      <c r="H413" s="40"/>
      <c r="I413" s="40"/>
      <c r="J413" s="136"/>
      <c r="K413" s="66"/>
    </row>
    <row r="414" spans="3:11" x14ac:dyDescent="0.25">
      <c r="C414" s="66"/>
      <c r="E414" s="132"/>
      <c r="F414" s="132"/>
      <c r="G414" s="133"/>
      <c r="H414" s="40"/>
      <c r="I414" s="40"/>
      <c r="J414" s="136"/>
      <c r="K414" s="66"/>
    </row>
    <row r="415" spans="3:11" x14ac:dyDescent="0.25">
      <c r="C415" s="66"/>
      <c r="E415" s="132"/>
      <c r="F415" s="132"/>
      <c r="G415" s="133"/>
      <c r="H415" s="40"/>
      <c r="I415" s="40"/>
      <c r="J415" s="136"/>
      <c r="K415" s="66"/>
    </row>
    <row r="416" spans="3:11" x14ac:dyDescent="0.25">
      <c r="C416" s="66"/>
      <c r="E416" s="132"/>
      <c r="F416" s="132"/>
      <c r="G416" s="133"/>
      <c r="H416" s="40"/>
      <c r="I416" s="40"/>
      <c r="J416" s="136"/>
      <c r="K416" s="66"/>
    </row>
    <row r="417" spans="3:11" x14ac:dyDescent="0.25">
      <c r="C417" s="66"/>
      <c r="E417" s="132"/>
      <c r="F417" s="132"/>
      <c r="G417" s="133"/>
      <c r="H417" s="40"/>
      <c r="I417" s="40"/>
      <c r="J417" s="136"/>
      <c r="K417" s="66"/>
    </row>
    <row r="418" spans="3:11" x14ac:dyDescent="0.25">
      <c r="C418" s="66"/>
      <c r="E418" s="132"/>
      <c r="F418" s="132"/>
      <c r="G418" s="133"/>
      <c r="H418" s="40"/>
      <c r="I418" s="40"/>
      <c r="J418" s="136"/>
      <c r="K418" s="66"/>
    </row>
    <row r="419" spans="3:11" x14ac:dyDescent="0.25">
      <c r="C419" s="66"/>
      <c r="E419" s="132"/>
      <c r="F419" s="132"/>
      <c r="G419" s="133"/>
      <c r="H419" s="40"/>
      <c r="I419" s="40"/>
      <c r="J419" s="136"/>
      <c r="K419" s="66"/>
    </row>
    <row r="420" spans="3:11" x14ac:dyDescent="0.25">
      <c r="C420" s="66"/>
      <c r="E420" s="132"/>
      <c r="F420" s="132"/>
      <c r="G420" s="133"/>
      <c r="H420" s="40"/>
      <c r="I420" s="40"/>
      <c r="J420" s="136"/>
      <c r="K420" s="66"/>
    </row>
    <row r="421" spans="3:11" x14ac:dyDescent="0.25">
      <c r="C421" s="66"/>
      <c r="E421" s="132"/>
      <c r="F421" s="132"/>
      <c r="G421" s="133"/>
      <c r="H421" s="40"/>
      <c r="I421" s="40"/>
      <c r="J421" s="136"/>
      <c r="K421" s="66"/>
    </row>
    <row r="422" spans="3:11" x14ac:dyDescent="0.25">
      <c r="C422" s="66"/>
      <c r="E422" s="132"/>
      <c r="F422" s="132"/>
      <c r="G422" s="133"/>
      <c r="H422" s="40"/>
      <c r="I422" s="40"/>
      <c r="J422" s="136"/>
      <c r="K422" s="66"/>
    </row>
    <row r="423" spans="3:11" x14ac:dyDescent="0.25">
      <c r="C423" s="66"/>
      <c r="E423" s="132"/>
      <c r="F423" s="132"/>
      <c r="G423" s="133"/>
      <c r="H423" s="40"/>
      <c r="I423" s="40"/>
      <c r="J423" s="136"/>
      <c r="K423" s="66"/>
    </row>
    <row r="424" spans="3:11" x14ac:dyDescent="0.25">
      <c r="C424" s="66"/>
      <c r="E424" s="132"/>
      <c r="F424" s="132"/>
      <c r="G424" s="133"/>
      <c r="H424" s="40"/>
      <c r="I424" s="40"/>
      <c r="J424" s="136"/>
      <c r="K424" s="66"/>
    </row>
    <row r="425" spans="3:11" x14ac:dyDescent="0.25">
      <c r="C425" s="66"/>
      <c r="E425" s="132"/>
      <c r="F425" s="132"/>
      <c r="G425" s="133"/>
      <c r="H425" s="40"/>
      <c r="I425" s="40"/>
      <c r="J425" s="136"/>
      <c r="K425" s="66"/>
    </row>
    <row r="426" spans="3:11" x14ac:dyDescent="0.25">
      <c r="C426" s="66"/>
      <c r="E426" s="132"/>
      <c r="F426" s="132"/>
      <c r="G426" s="133"/>
      <c r="H426" s="40"/>
      <c r="I426" s="40"/>
      <c r="J426" s="136"/>
      <c r="K426" s="66"/>
    </row>
    <row r="427" spans="3:11" x14ac:dyDescent="0.25">
      <c r="C427" s="66"/>
      <c r="E427" s="132"/>
      <c r="F427" s="132"/>
      <c r="G427" s="133"/>
      <c r="H427" s="40"/>
      <c r="I427" s="40"/>
      <c r="J427" s="136"/>
      <c r="K427" s="66"/>
    </row>
    <row r="428" spans="3:11" x14ac:dyDescent="0.25">
      <c r="C428" s="66"/>
      <c r="E428" s="132"/>
      <c r="F428" s="132"/>
      <c r="G428" s="133"/>
      <c r="H428" s="40"/>
      <c r="I428" s="40"/>
      <c r="J428" s="136"/>
      <c r="K428" s="66"/>
    </row>
    <row r="429" spans="3:11" x14ac:dyDescent="0.25">
      <c r="C429" s="66"/>
      <c r="E429" s="132"/>
      <c r="F429" s="132"/>
      <c r="G429" s="133"/>
      <c r="H429" s="40"/>
      <c r="I429" s="40"/>
      <c r="J429" s="136"/>
      <c r="K429" s="66"/>
    </row>
    <row r="430" spans="3:11" x14ac:dyDescent="0.25">
      <c r="C430" s="66"/>
      <c r="E430" s="132"/>
      <c r="F430" s="132"/>
      <c r="G430" s="133"/>
      <c r="H430" s="40"/>
      <c r="I430" s="40"/>
      <c r="J430" s="136"/>
      <c r="K430" s="66"/>
    </row>
    <row r="431" spans="3:11" x14ac:dyDescent="0.25">
      <c r="C431" s="66"/>
      <c r="E431" s="132"/>
      <c r="F431" s="132"/>
      <c r="G431" s="133"/>
      <c r="H431" s="40"/>
      <c r="I431" s="40"/>
      <c r="J431" s="136"/>
      <c r="K431" s="66"/>
    </row>
    <row r="432" spans="3:11" x14ac:dyDescent="0.25">
      <c r="C432" s="66"/>
      <c r="E432" s="132"/>
      <c r="F432" s="132"/>
      <c r="G432" s="133"/>
      <c r="H432" s="40"/>
      <c r="I432" s="40"/>
      <c r="J432" s="136"/>
      <c r="K432" s="66"/>
    </row>
    <row r="433" spans="3:11" x14ac:dyDescent="0.25">
      <c r="C433" s="66"/>
      <c r="E433" s="132"/>
      <c r="F433" s="132"/>
      <c r="G433" s="133"/>
      <c r="H433" s="40"/>
      <c r="I433" s="40"/>
      <c r="J433" s="136"/>
      <c r="K433" s="66"/>
    </row>
    <row r="434" spans="3:11" x14ac:dyDescent="0.25">
      <c r="C434" s="66"/>
      <c r="E434" s="132"/>
      <c r="F434" s="132"/>
      <c r="G434" s="133"/>
      <c r="H434" s="40"/>
      <c r="I434" s="40"/>
      <c r="J434" s="136"/>
      <c r="K434" s="66"/>
    </row>
    <row r="435" spans="3:11" x14ac:dyDescent="0.25">
      <c r="C435" s="66"/>
      <c r="E435" s="132"/>
      <c r="F435" s="132"/>
      <c r="G435" s="133"/>
      <c r="H435" s="40"/>
      <c r="I435" s="40"/>
      <c r="J435" s="136"/>
      <c r="K435" s="66"/>
    </row>
    <row r="436" spans="3:11" x14ac:dyDescent="0.25">
      <c r="C436" s="66"/>
      <c r="E436" s="132"/>
      <c r="F436" s="132"/>
      <c r="G436" s="133"/>
      <c r="H436" s="40"/>
      <c r="I436" s="40"/>
      <c r="J436" s="136"/>
      <c r="K436" s="66"/>
    </row>
    <row r="437" spans="3:11" x14ac:dyDescent="0.25">
      <c r="C437" s="66"/>
      <c r="E437" s="132"/>
      <c r="F437" s="132"/>
      <c r="G437" s="133"/>
      <c r="H437" s="40"/>
      <c r="I437" s="40"/>
      <c r="J437" s="136"/>
      <c r="K437" s="66"/>
    </row>
    <row r="438" spans="3:11" x14ac:dyDescent="0.25">
      <c r="C438" s="66"/>
      <c r="E438" s="132"/>
      <c r="F438" s="132"/>
      <c r="G438" s="133"/>
      <c r="H438" s="40"/>
      <c r="I438" s="40"/>
      <c r="J438" s="136"/>
      <c r="K438" s="66"/>
    </row>
    <row r="439" spans="3:11" x14ac:dyDescent="0.25">
      <c r="C439" s="66"/>
      <c r="E439" s="132"/>
      <c r="F439" s="132"/>
      <c r="G439" s="133"/>
      <c r="H439" s="40"/>
      <c r="I439" s="40"/>
      <c r="J439" s="136"/>
      <c r="K439" s="66"/>
    </row>
    <row r="440" spans="3:11" x14ac:dyDescent="0.25">
      <c r="C440" s="66"/>
      <c r="E440" s="132"/>
      <c r="F440" s="132"/>
      <c r="G440" s="133"/>
      <c r="H440" s="40"/>
      <c r="I440" s="40"/>
      <c r="J440" s="136"/>
      <c r="K440" s="66"/>
    </row>
    <row r="441" spans="3:11" x14ac:dyDescent="0.25">
      <c r="C441" s="66"/>
      <c r="E441" s="132"/>
      <c r="F441" s="132"/>
      <c r="G441" s="133"/>
      <c r="H441" s="40"/>
      <c r="I441" s="40"/>
      <c r="J441" s="136"/>
      <c r="K441" s="66"/>
    </row>
    <row r="442" spans="3:11" x14ac:dyDescent="0.25">
      <c r="C442" s="66"/>
      <c r="E442" s="132"/>
      <c r="F442" s="132"/>
      <c r="G442" s="133"/>
      <c r="H442" s="40"/>
      <c r="I442" s="40"/>
      <c r="J442" s="136"/>
      <c r="K442" s="66"/>
    </row>
    <row r="443" spans="3:11" x14ac:dyDescent="0.25">
      <c r="C443" s="66"/>
      <c r="E443" s="132"/>
      <c r="F443" s="132"/>
      <c r="G443" s="133"/>
      <c r="H443" s="40"/>
      <c r="I443" s="40"/>
      <c r="J443" s="136"/>
      <c r="K443" s="66"/>
    </row>
    <row r="444" spans="3:11" x14ac:dyDescent="0.25">
      <c r="C444" s="66"/>
      <c r="E444" s="132"/>
      <c r="F444" s="132"/>
      <c r="G444" s="133"/>
      <c r="H444" s="40"/>
      <c r="I444" s="40"/>
      <c r="J444" s="136"/>
      <c r="K444" s="66"/>
    </row>
    <row r="445" spans="3:11" x14ac:dyDescent="0.25">
      <c r="C445" s="66"/>
      <c r="E445" s="132"/>
      <c r="F445" s="132"/>
      <c r="G445" s="133"/>
      <c r="H445" s="40"/>
      <c r="I445" s="40"/>
      <c r="J445" s="136"/>
      <c r="K445" s="66"/>
    </row>
    <row r="446" spans="3:11" x14ac:dyDescent="0.25">
      <c r="C446" s="66"/>
      <c r="E446" s="132"/>
      <c r="F446" s="132"/>
      <c r="G446" s="133"/>
      <c r="H446" s="40"/>
      <c r="I446" s="40"/>
      <c r="J446" s="136"/>
      <c r="K446" s="66"/>
    </row>
    <row r="447" spans="3:11" x14ac:dyDescent="0.25">
      <c r="C447" s="66"/>
      <c r="E447" s="132"/>
      <c r="F447" s="132"/>
      <c r="G447" s="133"/>
      <c r="H447" s="40"/>
      <c r="I447" s="40"/>
      <c r="J447" s="136"/>
      <c r="K447" s="66"/>
    </row>
    <row r="448" spans="3:11" x14ac:dyDescent="0.25">
      <c r="C448" s="66"/>
      <c r="E448" s="132"/>
      <c r="F448" s="132"/>
      <c r="G448" s="133"/>
      <c r="H448" s="40"/>
      <c r="I448" s="40"/>
      <c r="J448" s="136"/>
      <c r="K448" s="66"/>
    </row>
    <row r="449" spans="3:11" x14ac:dyDescent="0.25">
      <c r="C449" s="66"/>
      <c r="E449" s="132"/>
      <c r="F449" s="132"/>
      <c r="G449" s="133"/>
      <c r="H449" s="40"/>
      <c r="I449" s="40"/>
      <c r="J449" s="136"/>
      <c r="K449" s="66"/>
    </row>
    <row r="450" spans="3:11" x14ac:dyDescent="0.25">
      <c r="C450" s="66"/>
      <c r="E450" s="132"/>
      <c r="F450" s="132"/>
      <c r="G450" s="133"/>
      <c r="H450" s="40"/>
      <c r="I450" s="40"/>
      <c r="J450" s="136"/>
      <c r="K450" s="66"/>
    </row>
    <row r="451" spans="3:11" x14ac:dyDescent="0.25">
      <c r="C451" s="66"/>
      <c r="E451" s="132"/>
      <c r="F451" s="132"/>
      <c r="G451" s="133"/>
      <c r="H451" s="40"/>
      <c r="I451" s="40"/>
      <c r="J451" s="136"/>
      <c r="K451" s="66"/>
    </row>
    <row r="452" spans="3:11" x14ac:dyDescent="0.25">
      <c r="C452" s="66"/>
      <c r="E452" s="132"/>
      <c r="F452" s="132"/>
      <c r="G452" s="133"/>
      <c r="H452" s="40"/>
      <c r="I452" s="40"/>
      <c r="J452" s="136"/>
      <c r="K452" s="66"/>
    </row>
    <row r="453" spans="3:11" x14ac:dyDescent="0.25">
      <c r="C453" s="66"/>
      <c r="E453" s="132"/>
      <c r="F453" s="132"/>
      <c r="G453" s="133"/>
      <c r="H453" s="40"/>
      <c r="I453" s="40"/>
      <c r="J453" s="136"/>
      <c r="K453" s="66"/>
    </row>
    <row r="454" spans="3:11" x14ac:dyDescent="0.25">
      <c r="C454" s="66"/>
      <c r="E454" s="132"/>
      <c r="F454" s="132"/>
      <c r="G454" s="133"/>
      <c r="H454" s="40"/>
      <c r="I454" s="40"/>
      <c r="J454" s="136"/>
      <c r="K454" s="66"/>
    </row>
    <row r="455" spans="3:11" x14ac:dyDescent="0.25">
      <c r="C455" s="66"/>
      <c r="E455" s="132"/>
      <c r="F455" s="132"/>
      <c r="G455" s="133"/>
      <c r="H455" s="40"/>
      <c r="I455" s="40"/>
      <c r="J455" s="136"/>
      <c r="K455" s="66"/>
    </row>
    <row r="456" spans="3:11" x14ac:dyDescent="0.25">
      <c r="C456" s="66"/>
      <c r="E456" s="132"/>
      <c r="F456" s="132"/>
      <c r="G456" s="133"/>
      <c r="H456" s="40"/>
      <c r="I456" s="40"/>
      <c r="J456" s="136"/>
      <c r="K456" s="66"/>
    </row>
    <row r="457" spans="3:11" x14ac:dyDescent="0.25">
      <c r="C457" s="66"/>
      <c r="E457" s="132"/>
      <c r="F457" s="132"/>
      <c r="G457" s="133"/>
      <c r="H457" s="40"/>
      <c r="I457" s="40"/>
      <c r="J457" s="136"/>
      <c r="K457" s="66"/>
    </row>
    <row r="458" spans="3:11" x14ac:dyDescent="0.25">
      <c r="C458" s="66"/>
      <c r="E458" s="132"/>
      <c r="F458" s="132"/>
      <c r="G458" s="133"/>
      <c r="H458" s="40"/>
      <c r="I458" s="40"/>
      <c r="J458" s="136"/>
      <c r="K458" s="66"/>
    </row>
    <row r="459" spans="3:11" x14ac:dyDescent="0.25">
      <c r="C459" s="66"/>
      <c r="E459" s="132"/>
      <c r="F459" s="132"/>
      <c r="G459" s="133"/>
      <c r="H459" s="40"/>
      <c r="I459" s="40"/>
      <c r="J459" s="136"/>
      <c r="K459" s="66"/>
    </row>
    <row r="460" spans="3:11" x14ac:dyDescent="0.25">
      <c r="C460" s="66"/>
      <c r="E460" s="132"/>
      <c r="F460" s="132"/>
      <c r="G460" s="133"/>
      <c r="H460" s="40"/>
      <c r="I460" s="40"/>
      <c r="J460" s="136"/>
      <c r="K460" s="66"/>
    </row>
    <row r="461" spans="3:11" x14ac:dyDescent="0.25">
      <c r="C461" s="66"/>
      <c r="E461" s="132"/>
      <c r="F461" s="132"/>
      <c r="G461" s="133"/>
      <c r="H461" s="40"/>
      <c r="I461" s="40"/>
      <c r="J461" s="136"/>
      <c r="K461" s="66"/>
    </row>
    <row r="462" spans="3:11" x14ac:dyDescent="0.25">
      <c r="C462" s="66"/>
      <c r="E462" s="132"/>
      <c r="F462" s="132"/>
      <c r="G462" s="133"/>
      <c r="H462" s="40"/>
      <c r="I462" s="40"/>
      <c r="J462" s="136"/>
      <c r="K462" s="66"/>
    </row>
    <row r="463" spans="3:11" x14ac:dyDescent="0.25">
      <c r="C463" s="66"/>
      <c r="E463" s="132"/>
      <c r="F463" s="132"/>
      <c r="G463" s="133"/>
      <c r="H463" s="40"/>
      <c r="I463" s="40"/>
      <c r="J463" s="136"/>
      <c r="K463" s="66"/>
    </row>
    <row r="464" spans="3:11" x14ac:dyDescent="0.25">
      <c r="C464" s="66"/>
      <c r="E464" s="132"/>
      <c r="F464" s="132"/>
      <c r="G464" s="133"/>
      <c r="H464" s="40"/>
      <c r="I464" s="40"/>
      <c r="J464" s="136"/>
      <c r="K464" s="66"/>
    </row>
    <row r="465" spans="3:11" x14ac:dyDescent="0.25">
      <c r="C465" s="66"/>
      <c r="E465" s="132"/>
      <c r="F465" s="132"/>
      <c r="G465" s="133"/>
      <c r="H465" s="40"/>
      <c r="I465" s="40"/>
      <c r="J465" s="136"/>
      <c r="K465" s="66"/>
    </row>
    <row r="466" spans="3:11" x14ac:dyDescent="0.25">
      <c r="C466" s="66"/>
      <c r="E466" s="132"/>
      <c r="F466" s="132"/>
      <c r="G466" s="133"/>
      <c r="H466" s="40"/>
      <c r="I466" s="40"/>
      <c r="J466" s="136"/>
      <c r="K466" s="66"/>
    </row>
    <row r="467" spans="3:11" x14ac:dyDescent="0.25">
      <c r="C467" s="66"/>
      <c r="E467" s="132"/>
      <c r="F467" s="132"/>
      <c r="G467" s="133"/>
      <c r="H467" s="40"/>
      <c r="I467" s="40"/>
      <c r="J467" s="136"/>
      <c r="K467" s="66"/>
    </row>
    <row r="468" spans="3:11" x14ac:dyDescent="0.25">
      <c r="C468" s="66"/>
      <c r="E468" s="132"/>
      <c r="F468" s="132"/>
      <c r="G468" s="133"/>
      <c r="H468" s="40"/>
      <c r="I468" s="40"/>
      <c r="J468" s="136"/>
      <c r="K468" s="66"/>
    </row>
    <row r="469" spans="3:11" x14ac:dyDescent="0.25">
      <c r="C469" s="66"/>
      <c r="E469" s="132"/>
      <c r="F469" s="132"/>
      <c r="G469" s="133"/>
      <c r="H469" s="40"/>
      <c r="I469" s="40"/>
      <c r="J469" s="136"/>
      <c r="K469" s="66"/>
    </row>
    <row r="470" spans="3:11" x14ac:dyDescent="0.25">
      <c r="C470" s="66"/>
      <c r="E470" s="132"/>
      <c r="F470" s="132"/>
      <c r="G470" s="133"/>
      <c r="H470" s="40"/>
      <c r="I470" s="40"/>
      <c r="J470" s="136"/>
      <c r="K470" s="66"/>
    </row>
    <row r="471" spans="3:11" x14ac:dyDescent="0.25">
      <c r="C471" s="66"/>
      <c r="E471" s="132"/>
      <c r="F471" s="132"/>
      <c r="G471" s="133"/>
      <c r="H471" s="40"/>
      <c r="I471" s="40"/>
      <c r="J471" s="136"/>
      <c r="K471" s="66"/>
    </row>
    <row r="472" spans="3:11" x14ac:dyDescent="0.25">
      <c r="C472" s="66"/>
      <c r="E472" s="132"/>
      <c r="F472" s="132"/>
      <c r="G472" s="133"/>
      <c r="H472" s="40"/>
      <c r="I472" s="40"/>
      <c r="J472" s="136"/>
      <c r="K472" s="66"/>
    </row>
    <row r="473" spans="3:11" x14ac:dyDescent="0.25">
      <c r="C473" s="66"/>
      <c r="E473" s="132"/>
      <c r="F473" s="132"/>
      <c r="G473" s="133"/>
      <c r="H473" s="40"/>
      <c r="I473" s="40"/>
      <c r="J473" s="136"/>
      <c r="K473" s="66"/>
    </row>
    <row r="474" spans="3:11" x14ac:dyDescent="0.25">
      <c r="C474" s="66"/>
      <c r="E474" s="132"/>
      <c r="F474" s="132"/>
      <c r="G474" s="133"/>
      <c r="H474" s="40"/>
      <c r="I474" s="40"/>
      <c r="J474" s="136"/>
      <c r="K474" s="66"/>
    </row>
    <row r="475" spans="3:11" x14ac:dyDescent="0.25">
      <c r="C475" s="66"/>
      <c r="E475" s="132"/>
      <c r="F475" s="132"/>
      <c r="G475" s="133"/>
      <c r="H475" s="40"/>
      <c r="I475" s="40"/>
      <c r="J475" s="136"/>
      <c r="K475" s="66"/>
    </row>
    <row r="476" spans="3:11" x14ac:dyDescent="0.25">
      <c r="C476" s="66"/>
      <c r="E476" s="132"/>
      <c r="F476" s="132"/>
      <c r="G476" s="133"/>
      <c r="H476" s="40"/>
      <c r="I476" s="40"/>
      <c r="J476" s="136"/>
      <c r="K476" s="66"/>
    </row>
    <row r="477" spans="3:11" x14ac:dyDescent="0.25">
      <c r="C477" s="66"/>
      <c r="E477" s="132"/>
      <c r="F477" s="132"/>
      <c r="G477" s="133"/>
      <c r="H477" s="40"/>
      <c r="I477" s="40"/>
      <c r="J477" s="136"/>
      <c r="K477" s="66"/>
    </row>
    <row r="478" spans="3:11" x14ac:dyDescent="0.25">
      <c r="C478" s="66"/>
      <c r="E478" s="132"/>
      <c r="F478" s="132"/>
      <c r="G478" s="133"/>
      <c r="H478" s="40"/>
      <c r="I478" s="40"/>
      <c r="J478" s="136"/>
      <c r="K478" s="66"/>
    </row>
    <row r="479" spans="3:11" x14ac:dyDescent="0.25">
      <c r="C479" s="66"/>
      <c r="E479" s="132"/>
      <c r="F479" s="132"/>
      <c r="G479" s="133"/>
      <c r="H479" s="40"/>
      <c r="I479" s="40"/>
      <c r="J479" s="136"/>
      <c r="K479" s="66"/>
    </row>
    <row r="480" spans="3:11" x14ac:dyDescent="0.25">
      <c r="C480" s="66"/>
      <c r="E480" s="132"/>
      <c r="F480" s="132"/>
      <c r="G480" s="133"/>
      <c r="H480" s="40"/>
      <c r="I480" s="40"/>
      <c r="J480" s="136"/>
      <c r="K480" s="66"/>
    </row>
    <row r="481" spans="3:11" x14ac:dyDescent="0.25">
      <c r="C481" s="66"/>
      <c r="E481" s="132"/>
      <c r="F481" s="132"/>
      <c r="G481" s="133"/>
      <c r="H481" s="40"/>
      <c r="I481" s="40"/>
      <c r="J481" s="136"/>
      <c r="K481" s="66"/>
    </row>
    <row r="482" spans="3:11" x14ac:dyDescent="0.25">
      <c r="C482" s="66"/>
      <c r="E482" s="132"/>
      <c r="F482" s="132"/>
      <c r="G482" s="133"/>
      <c r="H482" s="40"/>
      <c r="I482" s="40"/>
      <c r="J482" s="136"/>
      <c r="K482" s="66"/>
    </row>
    <row r="483" spans="3:11" x14ac:dyDescent="0.25">
      <c r="C483" s="66"/>
      <c r="E483" s="132"/>
      <c r="F483" s="132"/>
      <c r="G483" s="133"/>
      <c r="H483" s="40"/>
      <c r="I483" s="40"/>
      <c r="J483" s="136"/>
      <c r="K483" s="66"/>
    </row>
    <row r="484" spans="3:11" x14ac:dyDescent="0.25">
      <c r="C484" s="66"/>
      <c r="E484" s="132"/>
      <c r="F484" s="132"/>
      <c r="G484" s="133"/>
      <c r="H484" s="40"/>
      <c r="I484" s="40"/>
      <c r="J484" s="136"/>
      <c r="K484" s="66"/>
    </row>
    <row r="485" spans="3:11" x14ac:dyDescent="0.25">
      <c r="C485" s="66"/>
      <c r="E485" s="132"/>
      <c r="F485" s="132"/>
      <c r="G485" s="133"/>
      <c r="H485" s="40"/>
      <c r="I485" s="40"/>
      <c r="J485" s="136"/>
      <c r="K485" s="66"/>
    </row>
    <row r="486" spans="3:11" x14ac:dyDescent="0.25">
      <c r="C486" s="66"/>
      <c r="E486" s="132"/>
      <c r="F486" s="132"/>
      <c r="G486" s="133"/>
      <c r="H486" s="40"/>
      <c r="I486" s="40"/>
      <c r="J486" s="136"/>
      <c r="K486" s="66"/>
    </row>
    <row r="487" spans="3:11" x14ac:dyDescent="0.25">
      <c r="C487" s="66"/>
      <c r="E487" s="132"/>
      <c r="F487" s="132"/>
      <c r="G487" s="133"/>
      <c r="H487" s="40"/>
      <c r="I487" s="40"/>
      <c r="J487" s="136"/>
      <c r="K487" s="66"/>
    </row>
    <row r="488" spans="3:11" x14ac:dyDescent="0.25">
      <c r="C488" s="66"/>
      <c r="E488" s="132"/>
      <c r="F488" s="132"/>
      <c r="G488" s="133"/>
      <c r="H488" s="40"/>
      <c r="I488" s="40"/>
      <c r="J488" s="136"/>
      <c r="K488" s="66"/>
    </row>
    <row r="489" spans="3:11" x14ac:dyDescent="0.25">
      <c r="C489" s="66"/>
      <c r="E489" s="132"/>
      <c r="F489" s="132"/>
      <c r="G489" s="133"/>
      <c r="H489" s="40"/>
      <c r="I489" s="40"/>
      <c r="J489" s="136"/>
      <c r="K489" s="66"/>
    </row>
    <row r="490" spans="3:11" x14ac:dyDescent="0.25">
      <c r="C490" s="66"/>
      <c r="E490" s="132"/>
      <c r="F490" s="132"/>
      <c r="G490" s="133"/>
      <c r="H490" s="40"/>
      <c r="I490" s="40"/>
      <c r="J490" s="136"/>
      <c r="K490" s="66"/>
    </row>
    <row r="491" spans="3:11" x14ac:dyDescent="0.25">
      <c r="C491" s="66"/>
      <c r="E491" s="132"/>
      <c r="F491" s="132"/>
      <c r="G491" s="133"/>
      <c r="H491" s="40"/>
      <c r="I491" s="40"/>
      <c r="J491" s="136"/>
      <c r="K491" s="66"/>
    </row>
    <row r="492" spans="3:11" x14ac:dyDescent="0.25">
      <c r="C492" s="66"/>
      <c r="E492" s="132"/>
      <c r="F492" s="132"/>
      <c r="G492" s="133"/>
      <c r="H492" s="40"/>
      <c r="I492" s="40"/>
      <c r="J492" s="136"/>
      <c r="K492" s="66"/>
    </row>
    <row r="493" spans="3:11" x14ac:dyDescent="0.25">
      <c r="C493" s="66"/>
      <c r="E493" s="132"/>
      <c r="F493" s="132"/>
      <c r="G493" s="133"/>
      <c r="H493" s="40"/>
      <c r="I493" s="40"/>
      <c r="J493" s="136"/>
      <c r="K493" s="66"/>
    </row>
    <row r="494" spans="3:11" x14ac:dyDescent="0.25">
      <c r="C494" s="66"/>
      <c r="E494" s="132"/>
      <c r="F494" s="132"/>
      <c r="G494" s="133"/>
      <c r="H494" s="40"/>
      <c r="I494" s="40"/>
      <c r="J494" s="136"/>
      <c r="K494" s="66"/>
    </row>
    <row r="495" spans="3:11" x14ac:dyDescent="0.25">
      <c r="C495" s="66"/>
      <c r="E495" s="132"/>
      <c r="F495" s="132"/>
      <c r="G495" s="133"/>
      <c r="H495" s="40"/>
      <c r="I495" s="40"/>
      <c r="J495" s="136"/>
      <c r="K495" s="66"/>
    </row>
    <row r="496" spans="3:11" x14ac:dyDescent="0.25">
      <c r="C496" s="66"/>
      <c r="E496" s="132"/>
      <c r="F496" s="132"/>
      <c r="G496" s="133"/>
      <c r="H496" s="40"/>
      <c r="I496" s="40"/>
      <c r="J496" s="136"/>
      <c r="K496" s="66"/>
    </row>
    <row r="497" spans="3:11" x14ac:dyDescent="0.25">
      <c r="C497" s="66"/>
      <c r="E497" s="132"/>
      <c r="F497" s="132"/>
      <c r="G497" s="133"/>
      <c r="H497" s="40"/>
      <c r="I497" s="40"/>
      <c r="J497" s="136"/>
      <c r="K497" s="66"/>
    </row>
    <row r="498" spans="3:11" x14ac:dyDescent="0.25">
      <c r="C498" s="66"/>
      <c r="E498" s="132"/>
      <c r="F498" s="132"/>
      <c r="G498" s="133"/>
      <c r="H498" s="40"/>
      <c r="I498" s="40"/>
      <c r="J498" s="136"/>
      <c r="K498" s="66"/>
    </row>
    <row r="499" spans="3:11" x14ac:dyDescent="0.25">
      <c r="C499" s="66"/>
      <c r="E499" s="132"/>
      <c r="F499" s="132"/>
      <c r="G499" s="133"/>
      <c r="H499" s="40"/>
      <c r="I499" s="40"/>
      <c r="J499" s="136"/>
      <c r="K499" s="66"/>
    </row>
    <row r="500" spans="3:11" x14ac:dyDescent="0.25">
      <c r="C500" s="66"/>
      <c r="E500" s="132"/>
      <c r="F500" s="132"/>
      <c r="G500" s="133"/>
      <c r="H500" s="40"/>
      <c r="I500" s="40"/>
      <c r="J500" s="136"/>
      <c r="K500" s="66"/>
    </row>
    <row r="501" spans="3:11" x14ac:dyDescent="0.25">
      <c r="C501" s="66"/>
      <c r="E501" s="132"/>
      <c r="F501" s="132"/>
      <c r="G501" s="133"/>
      <c r="H501" s="40"/>
      <c r="I501" s="40"/>
      <c r="J501" s="136"/>
      <c r="K501" s="66"/>
    </row>
    <row r="502" spans="3:11" x14ac:dyDescent="0.25">
      <c r="C502" s="66"/>
      <c r="E502" s="132"/>
      <c r="F502" s="132"/>
      <c r="G502" s="133"/>
      <c r="H502" s="40"/>
      <c r="I502" s="40"/>
      <c r="J502" s="136"/>
      <c r="K502" s="66"/>
    </row>
    <row r="503" spans="3:11" x14ac:dyDescent="0.25">
      <c r="C503" s="66"/>
      <c r="E503" s="132"/>
      <c r="F503" s="132"/>
      <c r="G503" s="133"/>
      <c r="H503" s="40"/>
      <c r="I503" s="40"/>
      <c r="J503" s="136"/>
      <c r="K503" s="66"/>
    </row>
    <row r="504" spans="3:11" x14ac:dyDescent="0.25">
      <c r="C504" s="66"/>
      <c r="E504" s="132"/>
      <c r="F504" s="132"/>
      <c r="G504" s="133"/>
      <c r="H504" s="40"/>
      <c r="I504" s="40"/>
      <c r="J504" s="136"/>
      <c r="K504" s="66"/>
    </row>
    <row r="505" spans="3:11" x14ac:dyDescent="0.25">
      <c r="C505" s="66"/>
      <c r="E505" s="132"/>
      <c r="F505" s="132"/>
      <c r="G505" s="133"/>
      <c r="H505" s="40"/>
      <c r="I505" s="40"/>
      <c r="J505" s="136"/>
      <c r="K505" s="66"/>
    </row>
    <row r="506" spans="3:11" x14ac:dyDescent="0.25">
      <c r="C506" s="66"/>
      <c r="E506" s="132"/>
      <c r="F506" s="132"/>
      <c r="G506" s="133"/>
      <c r="H506" s="40"/>
      <c r="I506" s="40"/>
      <c r="J506" s="136"/>
      <c r="K506" s="66"/>
    </row>
    <row r="507" spans="3:11" x14ac:dyDescent="0.25">
      <c r="C507" s="66"/>
      <c r="E507" s="132"/>
      <c r="F507" s="132"/>
      <c r="G507" s="133"/>
      <c r="H507" s="40"/>
      <c r="I507" s="40"/>
      <c r="J507" s="136"/>
      <c r="K507" s="66"/>
    </row>
    <row r="508" spans="3:11" x14ac:dyDescent="0.25">
      <c r="C508" s="66"/>
      <c r="E508" s="132"/>
      <c r="F508" s="132"/>
      <c r="G508" s="133"/>
      <c r="H508" s="40"/>
      <c r="I508" s="40"/>
      <c r="J508" s="136"/>
      <c r="K508" s="66"/>
    </row>
    <row r="509" spans="3:11" x14ac:dyDescent="0.25">
      <c r="C509" s="66"/>
      <c r="E509" s="132"/>
      <c r="F509" s="132"/>
      <c r="G509" s="133"/>
      <c r="H509" s="40"/>
      <c r="I509" s="40"/>
      <c r="J509" s="136"/>
      <c r="K509" s="66"/>
    </row>
    <row r="510" spans="3:11" x14ac:dyDescent="0.25">
      <c r="C510" s="66"/>
      <c r="E510" s="132"/>
      <c r="F510" s="132"/>
      <c r="G510" s="133"/>
      <c r="H510" s="40"/>
      <c r="I510" s="40"/>
      <c r="J510" s="136"/>
      <c r="K510" s="66"/>
    </row>
    <row r="511" spans="3:11" x14ac:dyDescent="0.25">
      <c r="C511" s="66"/>
      <c r="E511" s="132"/>
      <c r="F511" s="132"/>
      <c r="G511" s="133"/>
      <c r="H511" s="40"/>
      <c r="I511" s="40"/>
      <c r="J511" s="136"/>
      <c r="K511" s="66"/>
    </row>
    <row r="512" spans="3:11" x14ac:dyDescent="0.25">
      <c r="C512" s="66"/>
      <c r="E512" s="132"/>
      <c r="F512" s="132"/>
      <c r="G512" s="133"/>
      <c r="H512" s="40"/>
      <c r="I512" s="40"/>
      <c r="J512" s="136"/>
      <c r="K512" s="66"/>
    </row>
    <row r="513" spans="3:11" x14ac:dyDescent="0.25">
      <c r="C513" s="66"/>
      <c r="E513" s="132"/>
      <c r="F513" s="132"/>
      <c r="G513" s="133"/>
      <c r="H513" s="40"/>
      <c r="I513" s="40"/>
      <c r="J513" s="136"/>
      <c r="K513" s="66"/>
    </row>
    <row r="514" spans="3:11" x14ac:dyDescent="0.25">
      <c r="C514" s="66"/>
      <c r="E514" s="132"/>
      <c r="F514" s="132"/>
      <c r="G514" s="133"/>
      <c r="H514" s="40"/>
      <c r="I514" s="40"/>
      <c r="J514" s="136"/>
      <c r="K514" s="66"/>
    </row>
    <row r="515" spans="3:11" x14ac:dyDescent="0.25">
      <c r="C515" s="66"/>
      <c r="E515" s="132"/>
      <c r="F515" s="132"/>
      <c r="G515" s="133"/>
      <c r="H515" s="40"/>
      <c r="I515" s="40"/>
      <c r="J515" s="136"/>
      <c r="K515" s="66"/>
    </row>
    <row r="516" spans="3:11" x14ac:dyDescent="0.25">
      <c r="C516" s="66"/>
      <c r="E516" s="132"/>
      <c r="F516" s="132"/>
      <c r="G516" s="133"/>
      <c r="H516" s="40"/>
      <c r="I516" s="40"/>
      <c r="J516" s="136"/>
      <c r="K516" s="66"/>
    </row>
    <row r="517" spans="3:11" x14ac:dyDescent="0.25">
      <c r="C517" s="66"/>
      <c r="E517" s="132"/>
      <c r="F517" s="132"/>
      <c r="G517" s="133"/>
      <c r="H517" s="40"/>
      <c r="I517" s="40"/>
      <c r="J517" s="136"/>
      <c r="K517" s="66"/>
    </row>
    <row r="518" spans="3:11" x14ac:dyDescent="0.25">
      <c r="C518" s="66"/>
      <c r="E518" s="132"/>
      <c r="F518" s="132"/>
      <c r="G518" s="133"/>
      <c r="H518" s="40"/>
      <c r="I518" s="40"/>
      <c r="J518" s="136"/>
      <c r="K518" s="66"/>
    </row>
    <row r="519" spans="3:11" x14ac:dyDescent="0.25">
      <c r="C519" s="66"/>
      <c r="E519" s="132"/>
      <c r="F519" s="132"/>
      <c r="G519" s="133"/>
      <c r="H519" s="40"/>
      <c r="I519" s="40"/>
      <c r="J519" s="136"/>
      <c r="K519" s="66"/>
    </row>
    <row r="520" spans="3:11" x14ac:dyDescent="0.25">
      <c r="C520" s="66"/>
      <c r="E520" s="132"/>
      <c r="F520" s="132"/>
      <c r="G520" s="133"/>
      <c r="H520" s="40"/>
      <c r="I520" s="40"/>
      <c r="J520" s="136"/>
      <c r="K520" s="66"/>
    </row>
    <row r="521" spans="3:11" x14ac:dyDescent="0.25">
      <c r="C521" s="66"/>
      <c r="E521" s="132"/>
      <c r="F521" s="132"/>
      <c r="G521" s="133"/>
      <c r="H521" s="40"/>
      <c r="I521" s="40"/>
      <c r="J521" s="136"/>
      <c r="K521" s="66"/>
    </row>
    <row r="522" spans="3:11" x14ac:dyDescent="0.25">
      <c r="C522" s="66"/>
      <c r="E522" s="132"/>
      <c r="F522" s="132"/>
      <c r="G522" s="133"/>
      <c r="H522" s="40"/>
      <c r="I522" s="40"/>
      <c r="J522" s="136"/>
      <c r="K522" s="66"/>
    </row>
    <row r="523" spans="3:11" x14ac:dyDescent="0.25">
      <c r="C523" s="66"/>
      <c r="E523" s="132"/>
      <c r="F523" s="132"/>
      <c r="G523" s="133"/>
      <c r="H523" s="40"/>
      <c r="I523" s="40"/>
      <c r="J523" s="136"/>
      <c r="K523" s="66"/>
    </row>
    <row r="524" spans="3:11" x14ac:dyDescent="0.25">
      <c r="C524" s="66"/>
      <c r="E524" s="132"/>
      <c r="F524" s="132"/>
      <c r="G524" s="133"/>
      <c r="H524" s="40"/>
      <c r="I524" s="40"/>
      <c r="J524" s="136"/>
      <c r="K524" s="66"/>
    </row>
    <row r="525" spans="3:11" x14ac:dyDescent="0.25">
      <c r="C525" s="66"/>
      <c r="E525" s="132"/>
      <c r="F525" s="132"/>
      <c r="G525" s="133"/>
      <c r="H525" s="40"/>
      <c r="I525" s="40"/>
      <c r="J525" s="136"/>
      <c r="K525" s="66"/>
    </row>
    <row r="526" spans="3:11" x14ac:dyDescent="0.25">
      <c r="C526" s="66"/>
      <c r="E526" s="132"/>
      <c r="F526" s="132"/>
      <c r="G526" s="133"/>
      <c r="H526" s="40"/>
      <c r="I526" s="40"/>
      <c r="J526" s="136"/>
      <c r="K526" s="66"/>
    </row>
    <row r="527" spans="3:11" x14ac:dyDescent="0.25">
      <c r="C527" s="66"/>
      <c r="E527" s="132"/>
      <c r="F527" s="132"/>
      <c r="G527" s="133"/>
      <c r="H527" s="40"/>
      <c r="I527" s="40"/>
      <c r="J527" s="136"/>
      <c r="K527" s="66"/>
    </row>
    <row r="528" spans="3:11" x14ac:dyDescent="0.25">
      <c r="C528" s="66"/>
      <c r="E528" s="132"/>
      <c r="F528" s="132"/>
      <c r="G528" s="133"/>
      <c r="H528" s="40"/>
      <c r="I528" s="40"/>
      <c r="J528" s="136"/>
      <c r="K528" s="66"/>
    </row>
    <row r="529" spans="3:11" x14ac:dyDescent="0.25">
      <c r="C529" s="66"/>
      <c r="E529" s="132"/>
      <c r="F529" s="132"/>
      <c r="G529" s="133"/>
      <c r="H529" s="40"/>
      <c r="I529" s="40"/>
      <c r="J529" s="136"/>
      <c r="K529" s="66"/>
    </row>
    <row r="530" spans="3:11" x14ac:dyDescent="0.25">
      <c r="C530" s="66"/>
      <c r="E530" s="132"/>
      <c r="F530" s="132"/>
      <c r="G530" s="133"/>
      <c r="H530" s="40"/>
      <c r="I530" s="40"/>
      <c r="J530" s="136"/>
      <c r="K530" s="66"/>
    </row>
    <row r="531" spans="3:11" x14ac:dyDescent="0.25">
      <c r="C531" s="66"/>
      <c r="E531" s="132"/>
      <c r="F531" s="132"/>
      <c r="G531" s="133"/>
      <c r="H531" s="40"/>
      <c r="I531" s="40"/>
      <c r="J531" s="136"/>
      <c r="K531" s="66"/>
    </row>
    <row r="532" spans="3:11" x14ac:dyDescent="0.25">
      <c r="C532" s="66"/>
      <c r="E532" s="132"/>
      <c r="F532" s="132"/>
      <c r="G532" s="133"/>
      <c r="H532" s="40"/>
      <c r="I532" s="40"/>
      <c r="J532" s="136"/>
      <c r="K532" s="66"/>
    </row>
    <row r="533" spans="3:11" x14ac:dyDescent="0.25">
      <c r="C533" s="66"/>
      <c r="E533" s="132"/>
      <c r="F533" s="132"/>
      <c r="G533" s="133"/>
      <c r="H533" s="40"/>
      <c r="I533" s="40"/>
      <c r="J533" s="136"/>
      <c r="K533" s="66"/>
    </row>
    <row r="534" spans="3:11" x14ac:dyDescent="0.25">
      <c r="C534" s="66"/>
      <c r="E534" s="132"/>
      <c r="F534" s="132"/>
      <c r="G534" s="133"/>
      <c r="H534" s="40"/>
      <c r="I534" s="40"/>
      <c r="J534" s="136"/>
      <c r="K534" s="66"/>
    </row>
    <row r="535" spans="3:11" x14ac:dyDescent="0.25">
      <c r="C535" s="66"/>
      <c r="E535" s="132"/>
      <c r="F535" s="132"/>
      <c r="G535" s="133"/>
      <c r="H535" s="40"/>
      <c r="I535" s="40"/>
      <c r="J535" s="136"/>
      <c r="K535" s="66"/>
    </row>
    <row r="536" spans="3:11" x14ac:dyDescent="0.25">
      <c r="C536" s="66"/>
      <c r="E536" s="132"/>
      <c r="F536" s="132"/>
      <c r="G536" s="133"/>
      <c r="H536" s="40"/>
      <c r="I536" s="40"/>
      <c r="J536" s="136"/>
      <c r="K536" s="66"/>
    </row>
    <row r="537" spans="3:11" x14ac:dyDescent="0.25">
      <c r="C537" s="66"/>
      <c r="E537" s="132"/>
      <c r="F537" s="132"/>
      <c r="G537" s="133"/>
      <c r="H537" s="40"/>
      <c r="I537" s="40"/>
      <c r="J537" s="136"/>
      <c r="K537" s="66"/>
    </row>
    <row r="538" spans="3:11" x14ac:dyDescent="0.25">
      <c r="C538" s="66"/>
      <c r="E538" s="132"/>
      <c r="F538" s="132"/>
      <c r="G538" s="133"/>
      <c r="H538" s="40"/>
      <c r="I538" s="40"/>
      <c r="J538" s="136"/>
      <c r="K538" s="66"/>
    </row>
    <row r="539" spans="3:11" x14ac:dyDescent="0.25">
      <c r="C539" s="66"/>
      <c r="E539" s="132"/>
      <c r="F539" s="132"/>
      <c r="G539" s="133"/>
      <c r="H539" s="40"/>
      <c r="I539" s="40"/>
      <c r="J539" s="136"/>
      <c r="K539" s="66"/>
    </row>
    <row r="540" spans="3:11" x14ac:dyDescent="0.25">
      <c r="C540" s="66"/>
      <c r="E540" s="132"/>
      <c r="F540" s="132"/>
      <c r="G540" s="133"/>
      <c r="H540" s="40"/>
      <c r="I540" s="40"/>
      <c r="J540" s="136"/>
      <c r="K540" s="66"/>
    </row>
    <row r="541" spans="3:11" x14ac:dyDescent="0.25">
      <c r="C541" s="66"/>
      <c r="E541" s="132"/>
      <c r="F541" s="132"/>
      <c r="G541" s="133"/>
      <c r="H541" s="40"/>
      <c r="I541" s="40"/>
      <c r="J541" s="136"/>
      <c r="K541" s="66"/>
    </row>
    <row r="542" spans="3:11" x14ac:dyDescent="0.25">
      <c r="C542" s="66"/>
      <c r="E542" s="132"/>
      <c r="F542" s="132"/>
      <c r="G542" s="133"/>
      <c r="H542" s="40"/>
      <c r="I542" s="40"/>
      <c r="J542" s="136"/>
      <c r="K542" s="66"/>
    </row>
    <row r="543" spans="3:11" x14ac:dyDescent="0.25">
      <c r="C543" s="66"/>
      <c r="E543" s="132"/>
      <c r="F543" s="132"/>
      <c r="G543" s="133"/>
      <c r="H543" s="40"/>
      <c r="I543" s="40"/>
      <c r="J543" s="136"/>
      <c r="K543" s="66"/>
    </row>
    <row r="544" spans="3:11" x14ac:dyDescent="0.25">
      <c r="C544" s="66"/>
      <c r="E544" s="132"/>
      <c r="F544" s="132"/>
      <c r="G544" s="133"/>
      <c r="H544" s="40"/>
      <c r="I544" s="40"/>
      <c r="J544" s="136"/>
      <c r="K544" s="66"/>
    </row>
    <row r="545" spans="3:11" x14ac:dyDescent="0.25">
      <c r="C545" s="66"/>
      <c r="E545" s="132"/>
      <c r="F545" s="132"/>
      <c r="G545" s="133"/>
      <c r="H545" s="40"/>
      <c r="I545" s="40"/>
      <c r="J545" s="136"/>
      <c r="K545" s="66"/>
    </row>
    <row r="546" spans="3:11" x14ac:dyDescent="0.25">
      <c r="C546" s="66"/>
      <c r="E546" s="132"/>
      <c r="F546" s="132"/>
      <c r="G546" s="133"/>
      <c r="H546" s="40"/>
      <c r="I546" s="40"/>
      <c r="J546" s="136"/>
      <c r="K546" s="66"/>
    </row>
    <row r="547" spans="3:11" x14ac:dyDescent="0.25">
      <c r="C547" s="66"/>
      <c r="E547" s="132"/>
      <c r="F547" s="132"/>
      <c r="G547" s="133"/>
      <c r="H547" s="40"/>
      <c r="I547" s="40"/>
      <c r="J547" s="136"/>
      <c r="K547" s="66"/>
    </row>
    <row r="548" spans="3:11" x14ac:dyDescent="0.25">
      <c r="C548" s="66"/>
      <c r="E548" s="132"/>
      <c r="F548" s="132"/>
      <c r="G548" s="133"/>
      <c r="H548" s="40"/>
      <c r="I548" s="40"/>
      <c r="J548" s="136"/>
      <c r="K548" s="66"/>
    </row>
    <row r="549" spans="3:11" x14ac:dyDescent="0.25">
      <c r="C549" s="66"/>
      <c r="E549" s="132"/>
      <c r="F549" s="132"/>
      <c r="G549" s="133"/>
      <c r="H549" s="40"/>
      <c r="I549" s="40"/>
      <c r="J549" s="136"/>
      <c r="K549" s="66"/>
    </row>
    <row r="550" spans="3:11" x14ac:dyDescent="0.25">
      <c r="C550" s="66"/>
      <c r="E550" s="132"/>
      <c r="F550" s="132"/>
      <c r="G550" s="133"/>
      <c r="H550" s="40"/>
      <c r="I550" s="40"/>
      <c r="J550" s="136"/>
      <c r="K550" s="66"/>
    </row>
    <row r="551" spans="3:11" x14ac:dyDescent="0.25">
      <c r="C551" s="66"/>
      <c r="E551" s="132"/>
      <c r="F551" s="132"/>
      <c r="G551" s="133"/>
      <c r="H551" s="40"/>
      <c r="I551" s="40"/>
      <c r="J551" s="136"/>
      <c r="K551" s="66"/>
    </row>
    <row r="552" spans="3:11" x14ac:dyDescent="0.25">
      <c r="C552" s="66"/>
      <c r="E552" s="132"/>
      <c r="F552" s="132"/>
      <c r="G552" s="133"/>
      <c r="H552" s="40"/>
      <c r="I552" s="40"/>
      <c r="J552" s="136"/>
      <c r="K552" s="66"/>
    </row>
    <row r="553" spans="3:11" x14ac:dyDescent="0.25">
      <c r="C553" s="66"/>
      <c r="E553" s="132"/>
      <c r="F553" s="132"/>
      <c r="G553" s="133"/>
      <c r="H553" s="40"/>
      <c r="I553" s="40"/>
      <c r="J553" s="136"/>
      <c r="K553" s="66"/>
    </row>
    <row r="554" spans="3:11" x14ac:dyDescent="0.25">
      <c r="C554" s="66"/>
      <c r="E554" s="132"/>
      <c r="F554" s="132"/>
      <c r="G554" s="133"/>
      <c r="H554" s="40"/>
      <c r="I554" s="40"/>
      <c r="J554" s="136"/>
      <c r="K554" s="66"/>
    </row>
    <row r="555" spans="3:11" x14ac:dyDescent="0.25">
      <c r="C555" s="66"/>
      <c r="E555" s="132"/>
      <c r="F555" s="132"/>
      <c r="G555" s="133"/>
      <c r="H555" s="40"/>
      <c r="I555" s="40"/>
      <c r="J555" s="136"/>
      <c r="K555" s="66"/>
    </row>
    <row r="556" spans="3:11" x14ac:dyDescent="0.25">
      <c r="C556" s="66"/>
      <c r="E556" s="132"/>
      <c r="F556" s="132"/>
      <c r="G556" s="133"/>
      <c r="H556" s="40"/>
      <c r="I556" s="40"/>
      <c r="J556" s="136"/>
      <c r="K556" s="66"/>
    </row>
    <row r="557" spans="3:11" x14ac:dyDescent="0.25">
      <c r="C557" s="66"/>
      <c r="E557" s="132"/>
      <c r="F557" s="132"/>
      <c r="G557" s="133"/>
      <c r="H557" s="40"/>
      <c r="I557" s="40"/>
      <c r="J557" s="136"/>
      <c r="K557" s="66"/>
    </row>
    <row r="558" spans="3:11" x14ac:dyDescent="0.25">
      <c r="C558" s="66"/>
      <c r="E558" s="132"/>
      <c r="F558" s="132"/>
      <c r="G558" s="133"/>
      <c r="H558" s="40"/>
      <c r="I558" s="40"/>
      <c r="J558" s="136"/>
      <c r="K558" s="66"/>
    </row>
    <row r="559" spans="3:11" x14ac:dyDescent="0.25">
      <c r="C559" s="66"/>
      <c r="E559" s="132"/>
      <c r="F559" s="132"/>
      <c r="G559" s="133"/>
      <c r="H559" s="40"/>
      <c r="I559" s="40"/>
      <c r="J559" s="136"/>
      <c r="K559" s="66"/>
    </row>
    <row r="560" spans="3:11" x14ac:dyDescent="0.25">
      <c r="C560" s="66"/>
      <c r="E560" s="132"/>
      <c r="F560" s="132"/>
      <c r="G560" s="133"/>
      <c r="H560" s="40"/>
      <c r="I560" s="40"/>
      <c r="J560" s="136"/>
      <c r="K560" s="66"/>
    </row>
    <row r="561" spans="3:11" x14ac:dyDescent="0.25">
      <c r="C561" s="66"/>
      <c r="E561" s="132"/>
      <c r="F561" s="132"/>
      <c r="G561" s="133"/>
      <c r="H561" s="40"/>
      <c r="I561" s="40"/>
      <c r="J561" s="136"/>
      <c r="K561" s="66"/>
    </row>
    <row r="562" spans="3:11" x14ac:dyDescent="0.25">
      <c r="C562" s="66"/>
      <c r="E562" s="132"/>
      <c r="F562" s="132"/>
      <c r="G562" s="133"/>
      <c r="H562" s="40"/>
      <c r="I562" s="40"/>
      <c r="J562" s="136"/>
      <c r="K562" s="66"/>
    </row>
    <row r="563" spans="3:11" x14ac:dyDescent="0.25">
      <c r="C563" s="66"/>
      <c r="E563" s="132"/>
      <c r="F563" s="132"/>
      <c r="G563" s="133"/>
      <c r="H563" s="40"/>
      <c r="I563" s="40"/>
      <c r="J563" s="136"/>
      <c r="K563" s="66"/>
    </row>
    <row r="564" spans="3:11" x14ac:dyDescent="0.25">
      <c r="C564" s="66"/>
      <c r="E564" s="132"/>
      <c r="F564" s="132"/>
      <c r="G564" s="133"/>
      <c r="H564" s="40"/>
      <c r="I564" s="40"/>
      <c r="J564" s="136"/>
      <c r="K564" s="66"/>
    </row>
    <row r="565" spans="3:11" x14ac:dyDescent="0.25">
      <c r="C565" s="66"/>
      <c r="E565" s="132"/>
      <c r="F565" s="132"/>
      <c r="G565" s="133"/>
      <c r="H565" s="40"/>
      <c r="I565" s="40"/>
      <c r="J565" s="136"/>
      <c r="K565" s="66"/>
    </row>
    <row r="566" spans="3:11" x14ac:dyDescent="0.25">
      <c r="C566" s="66"/>
      <c r="E566" s="132"/>
      <c r="F566" s="132"/>
      <c r="G566" s="133"/>
      <c r="H566" s="40"/>
      <c r="I566" s="40"/>
      <c r="J566" s="136"/>
      <c r="K566" s="66"/>
    </row>
    <row r="567" spans="3:11" x14ac:dyDescent="0.25">
      <c r="C567" s="66"/>
      <c r="E567" s="132"/>
      <c r="F567" s="132"/>
      <c r="G567" s="133"/>
      <c r="H567" s="40"/>
      <c r="I567" s="40"/>
      <c r="J567" s="136"/>
      <c r="K567" s="66"/>
    </row>
    <row r="568" spans="3:11" x14ac:dyDescent="0.25">
      <c r="C568" s="66"/>
      <c r="E568" s="132"/>
      <c r="F568" s="132"/>
      <c r="G568" s="133"/>
      <c r="H568" s="40"/>
      <c r="I568" s="40"/>
      <c r="J568" s="136"/>
      <c r="K568" s="66"/>
    </row>
    <row r="569" spans="3:11" x14ac:dyDescent="0.25">
      <c r="C569" s="66"/>
      <c r="E569" s="132"/>
      <c r="F569" s="132"/>
      <c r="G569" s="133"/>
      <c r="H569" s="40"/>
      <c r="I569" s="40"/>
      <c r="J569" s="136"/>
      <c r="K569" s="66"/>
    </row>
    <row r="570" spans="3:11" x14ac:dyDescent="0.25">
      <c r="C570" s="66"/>
      <c r="E570" s="132"/>
      <c r="F570" s="132"/>
      <c r="G570" s="133"/>
      <c r="H570" s="40"/>
      <c r="I570" s="40"/>
      <c r="J570" s="136"/>
      <c r="K570" s="66"/>
    </row>
    <row r="571" spans="3:11" x14ac:dyDescent="0.25">
      <c r="C571" s="66"/>
      <c r="E571" s="132"/>
      <c r="F571" s="132"/>
      <c r="G571" s="133"/>
      <c r="H571" s="40"/>
      <c r="I571" s="40"/>
      <c r="J571" s="136"/>
      <c r="K571" s="66"/>
    </row>
    <row r="572" spans="3:11" x14ac:dyDescent="0.25">
      <c r="C572" s="66"/>
      <c r="E572" s="132"/>
      <c r="F572" s="132"/>
      <c r="G572" s="133"/>
      <c r="H572" s="40"/>
      <c r="I572" s="40"/>
      <c r="J572" s="136"/>
      <c r="K572" s="66"/>
    </row>
    <row r="573" spans="3:11" x14ac:dyDescent="0.25">
      <c r="C573" s="66"/>
      <c r="E573" s="132"/>
      <c r="F573" s="132"/>
      <c r="G573" s="133"/>
      <c r="H573" s="40"/>
      <c r="I573" s="40"/>
      <c r="J573" s="136"/>
      <c r="K573" s="66"/>
    </row>
    <row r="574" spans="3:11" x14ac:dyDescent="0.25">
      <c r="C574" s="66"/>
      <c r="E574" s="132"/>
      <c r="F574" s="132"/>
      <c r="G574" s="133"/>
      <c r="H574" s="40"/>
      <c r="I574" s="40"/>
      <c r="J574" s="136"/>
      <c r="K574" s="66"/>
    </row>
    <row r="575" spans="3:11" x14ac:dyDescent="0.25">
      <c r="C575" s="66"/>
      <c r="E575" s="132"/>
      <c r="F575" s="132"/>
      <c r="G575" s="133"/>
      <c r="H575" s="40"/>
      <c r="I575" s="40"/>
      <c r="J575" s="136"/>
      <c r="K575" s="66"/>
    </row>
    <row r="576" spans="3:11" x14ac:dyDescent="0.25">
      <c r="C576" s="66"/>
      <c r="E576" s="132"/>
      <c r="F576" s="132"/>
      <c r="G576" s="133"/>
      <c r="H576" s="40"/>
      <c r="I576" s="40"/>
      <c r="J576" s="136"/>
      <c r="K576" s="66"/>
    </row>
    <row r="577" spans="3:11" x14ac:dyDescent="0.25">
      <c r="C577" s="66"/>
      <c r="E577" s="132"/>
      <c r="F577" s="132"/>
      <c r="G577" s="133"/>
      <c r="H577" s="40"/>
      <c r="I577" s="40"/>
      <c r="J577" s="136"/>
      <c r="K577" s="66"/>
    </row>
    <row r="578" spans="3:11" x14ac:dyDescent="0.25">
      <c r="C578" s="66"/>
      <c r="E578" s="132"/>
      <c r="F578" s="132"/>
      <c r="G578" s="133"/>
      <c r="H578" s="40"/>
      <c r="I578" s="40"/>
      <c r="J578" s="136"/>
      <c r="K578" s="66"/>
    </row>
    <row r="579" spans="3:11" x14ac:dyDescent="0.25">
      <c r="C579" s="66"/>
      <c r="E579" s="132"/>
      <c r="F579" s="132"/>
      <c r="G579" s="133"/>
      <c r="H579" s="40"/>
      <c r="I579" s="40"/>
      <c r="J579" s="136"/>
      <c r="K579" s="66"/>
    </row>
    <row r="580" spans="3:11" x14ac:dyDescent="0.25">
      <c r="C580" s="66"/>
      <c r="E580" s="132"/>
      <c r="F580" s="132"/>
      <c r="G580" s="133"/>
      <c r="H580" s="40"/>
      <c r="I580" s="40"/>
      <c r="J580" s="136"/>
      <c r="K580" s="66"/>
    </row>
    <row r="581" spans="3:11" x14ac:dyDescent="0.25">
      <c r="C581" s="66"/>
      <c r="E581" s="132"/>
      <c r="F581" s="132"/>
      <c r="G581" s="133"/>
      <c r="H581" s="40"/>
      <c r="I581" s="40"/>
      <c r="J581" s="136"/>
      <c r="K581" s="66"/>
    </row>
    <row r="582" spans="3:11" x14ac:dyDescent="0.25">
      <c r="C582" s="66"/>
      <c r="E582" s="132"/>
      <c r="F582" s="132"/>
      <c r="G582" s="133"/>
      <c r="H582" s="40"/>
      <c r="I582" s="40"/>
      <c r="J582" s="136"/>
      <c r="K582" s="66"/>
    </row>
    <row r="583" spans="3:11" x14ac:dyDescent="0.25">
      <c r="C583" s="66"/>
      <c r="E583" s="132"/>
      <c r="F583" s="132"/>
      <c r="G583" s="133"/>
      <c r="H583" s="40"/>
      <c r="I583" s="40"/>
      <c r="J583" s="136"/>
      <c r="K583" s="66"/>
    </row>
    <row r="584" spans="3:11" x14ac:dyDescent="0.25">
      <c r="C584" s="66"/>
      <c r="E584" s="132"/>
      <c r="F584" s="132"/>
      <c r="G584" s="133"/>
      <c r="H584" s="40"/>
      <c r="I584" s="40"/>
      <c r="J584" s="136"/>
      <c r="K584" s="66"/>
    </row>
    <row r="585" spans="3:11" x14ac:dyDescent="0.25">
      <c r="C585" s="66"/>
      <c r="E585" s="132"/>
      <c r="F585" s="132"/>
      <c r="G585" s="133"/>
      <c r="H585" s="40"/>
      <c r="I585" s="40"/>
      <c r="J585" s="136"/>
      <c r="K585" s="66"/>
    </row>
    <row r="586" spans="3:11" x14ac:dyDescent="0.25">
      <c r="C586" s="66"/>
      <c r="E586" s="132"/>
      <c r="F586" s="132"/>
      <c r="G586" s="133"/>
      <c r="H586" s="40"/>
      <c r="I586" s="40"/>
      <c r="J586" s="136"/>
      <c r="K586" s="66"/>
    </row>
    <row r="587" spans="3:11" x14ac:dyDescent="0.25">
      <c r="C587" s="66"/>
      <c r="E587" s="132"/>
      <c r="F587" s="132"/>
      <c r="G587" s="133"/>
      <c r="H587" s="40"/>
      <c r="I587" s="40"/>
      <c r="J587" s="136"/>
      <c r="K587" s="66"/>
    </row>
    <row r="588" spans="3:11" x14ac:dyDescent="0.25">
      <c r="C588" s="66"/>
      <c r="E588" s="132"/>
      <c r="F588" s="132"/>
      <c r="G588" s="133"/>
      <c r="H588" s="40"/>
      <c r="I588" s="40"/>
      <c r="J588" s="136"/>
      <c r="K588" s="66"/>
    </row>
    <row r="589" spans="3:11" x14ac:dyDescent="0.25">
      <c r="C589" s="66"/>
      <c r="E589" s="132"/>
      <c r="F589" s="132"/>
      <c r="G589" s="133"/>
      <c r="H589" s="40"/>
      <c r="I589" s="40"/>
      <c r="J589" s="136"/>
      <c r="K589" s="66"/>
    </row>
    <row r="590" spans="3:11" x14ac:dyDescent="0.25">
      <c r="C590" s="66"/>
      <c r="E590" s="132"/>
      <c r="F590" s="132"/>
      <c r="G590" s="133"/>
      <c r="H590" s="40"/>
      <c r="I590" s="40"/>
      <c r="J590" s="136"/>
      <c r="K590" s="66"/>
    </row>
    <row r="591" spans="3:11" x14ac:dyDescent="0.25">
      <c r="C591" s="66"/>
      <c r="E591" s="132"/>
      <c r="F591" s="132"/>
      <c r="G591" s="133"/>
      <c r="H591" s="40"/>
      <c r="I591" s="40"/>
      <c r="J591" s="136"/>
      <c r="K591" s="66"/>
    </row>
    <row r="592" spans="3:11" x14ac:dyDescent="0.25">
      <c r="C592" s="66"/>
      <c r="E592" s="132"/>
      <c r="F592" s="132"/>
      <c r="G592" s="133"/>
      <c r="H592" s="40"/>
      <c r="I592" s="40"/>
      <c r="J592" s="136"/>
      <c r="K592" s="66"/>
    </row>
    <row r="593" spans="3:11" x14ac:dyDescent="0.25">
      <c r="C593" s="66"/>
      <c r="E593" s="132"/>
      <c r="F593" s="132"/>
      <c r="G593" s="133"/>
      <c r="H593" s="40"/>
      <c r="I593" s="40"/>
      <c r="J593" s="136"/>
      <c r="K593" s="66"/>
    </row>
    <row r="594" spans="3:11" x14ac:dyDescent="0.25">
      <c r="C594" s="66"/>
      <c r="E594" s="132"/>
      <c r="F594" s="132"/>
      <c r="G594" s="133"/>
      <c r="H594" s="40"/>
      <c r="I594" s="40"/>
      <c r="J594" s="136"/>
      <c r="K594" s="66"/>
    </row>
    <row r="595" spans="3:11" x14ac:dyDescent="0.25">
      <c r="C595" s="66"/>
      <c r="E595" s="132"/>
      <c r="F595" s="132"/>
      <c r="G595" s="133"/>
      <c r="H595" s="40"/>
      <c r="I595" s="40"/>
      <c r="J595" s="136"/>
      <c r="K595" s="66"/>
    </row>
    <row r="596" spans="3:11" x14ac:dyDescent="0.25">
      <c r="C596" s="66"/>
      <c r="E596" s="132"/>
      <c r="F596" s="132"/>
      <c r="G596" s="133"/>
      <c r="H596" s="40"/>
      <c r="I596" s="40"/>
      <c r="J596" s="136"/>
      <c r="K596" s="66"/>
    </row>
    <row r="597" spans="3:11" x14ac:dyDescent="0.25">
      <c r="C597" s="66"/>
      <c r="E597" s="132"/>
      <c r="F597" s="132"/>
      <c r="G597" s="133"/>
      <c r="H597" s="40"/>
      <c r="I597" s="40"/>
      <c r="J597" s="136"/>
      <c r="K597" s="66"/>
    </row>
    <row r="598" spans="3:11" x14ac:dyDescent="0.25">
      <c r="C598" s="66"/>
      <c r="E598" s="132"/>
      <c r="F598" s="132"/>
      <c r="G598" s="133"/>
      <c r="H598" s="40"/>
      <c r="I598" s="40"/>
      <c r="J598" s="136"/>
      <c r="K598" s="66"/>
    </row>
    <row r="599" spans="3:11" x14ac:dyDescent="0.25">
      <c r="C599" s="66"/>
      <c r="E599" s="132"/>
      <c r="F599" s="132"/>
      <c r="G599" s="133"/>
      <c r="H599" s="40"/>
      <c r="I599" s="40"/>
      <c r="J599" s="136"/>
      <c r="K599" s="66"/>
    </row>
    <row r="600" spans="3:11" x14ac:dyDescent="0.25">
      <c r="C600" s="66"/>
      <c r="E600" s="132"/>
      <c r="F600" s="132"/>
      <c r="G600" s="133"/>
      <c r="H600" s="40"/>
      <c r="I600" s="40"/>
      <c r="J600" s="136"/>
      <c r="K600" s="66"/>
    </row>
    <row r="601" spans="3:11" x14ac:dyDescent="0.25">
      <c r="C601" s="66"/>
      <c r="E601" s="132"/>
      <c r="F601" s="132"/>
      <c r="G601" s="133"/>
      <c r="H601" s="40"/>
      <c r="I601" s="40"/>
      <c r="J601" s="136"/>
      <c r="K601" s="66"/>
    </row>
    <row r="602" spans="3:11" x14ac:dyDescent="0.25">
      <c r="C602" s="66"/>
      <c r="E602" s="132"/>
      <c r="F602" s="132"/>
      <c r="G602" s="133"/>
      <c r="H602" s="40"/>
      <c r="I602" s="40"/>
      <c r="J602" s="136"/>
      <c r="K602" s="66"/>
    </row>
    <row r="603" spans="3:11" x14ac:dyDescent="0.25">
      <c r="C603" s="66"/>
      <c r="E603" s="132"/>
      <c r="F603" s="132"/>
      <c r="G603" s="133"/>
      <c r="H603" s="40"/>
      <c r="I603" s="40"/>
      <c r="J603" s="136"/>
      <c r="K603" s="66"/>
    </row>
    <row r="604" spans="3:11" x14ac:dyDescent="0.25">
      <c r="C604" s="66"/>
      <c r="E604" s="132"/>
      <c r="F604" s="132"/>
      <c r="G604" s="133"/>
      <c r="H604" s="40"/>
      <c r="I604" s="40"/>
      <c r="J604" s="136"/>
      <c r="K604" s="66"/>
    </row>
    <row r="605" spans="3:11" x14ac:dyDescent="0.25">
      <c r="C605" s="66"/>
      <c r="E605" s="132"/>
      <c r="F605" s="132"/>
      <c r="G605" s="133"/>
      <c r="H605" s="40"/>
      <c r="I605" s="40"/>
      <c r="J605" s="136"/>
      <c r="K605" s="66"/>
    </row>
    <row r="606" spans="3:11" x14ac:dyDescent="0.25">
      <c r="C606" s="66"/>
      <c r="E606" s="132"/>
      <c r="F606" s="132"/>
      <c r="G606" s="133"/>
      <c r="H606" s="40"/>
      <c r="I606" s="40"/>
      <c r="J606" s="136"/>
      <c r="K606" s="66"/>
    </row>
    <row r="607" spans="3:11" x14ac:dyDescent="0.25">
      <c r="C607" s="66"/>
      <c r="E607" s="132"/>
      <c r="F607" s="132"/>
      <c r="G607" s="133"/>
      <c r="H607" s="40"/>
      <c r="I607" s="40"/>
      <c r="J607" s="136"/>
      <c r="K607" s="66"/>
    </row>
    <row r="608" spans="3:11" x14ac:dyDescent="0.25">
      <c r="C608" s="66"/>
      <c r="E608" s="132"/>
      <c r="F608" s="132"/>
      <c r="G608" s="133"/>
      <c r="H608" s="40"/>
      <c r="I608" s="40"/>
      <c r="J608" s="136"/>
      <c r="K608" s="66"/>
    </row>
    <row r="609" spans="3:11" x14ac:dyDescent="0.25">
      <c r="C609" s="66"/>
      <c r="E609" s="132"/>
      <c r="F609" s="132"/>
      <c r="G609" s="133"/>
      <c r="H609" s="40"/>
      <c r="I609" s="40"/>
      <c r="J609" s="136"/>
      <c r="K609" s="66"/>
    </row>
    <row r="610" spans="3:11" x14ac:dyDescent="0.25">
      <c r="C610" s="66"/>
      <c r="E610" s="132"/>
      <c r="F610" s="132"/>
      <c r="G610" s="133"/>
      <c r="H610" s="40"/>
      <c r="I610" s="40"/>
      <c r="J610" s="136"/>
      <c r="K610" s="66"/>
    </row>
    <row r="611" spans="3:11" x14ac:dyDescent="0.25">
      <c r="C611" s="66"/>
      <c r="E611" s="132"/>
      <c r="F611" s="132"/>
      <c r="G611" s="133"/>
      <c r="H611" s="40"/>
      <c r="I611" s="40"/>
      <c r="J611" s="136"/>
      <c r="K611" s="66"/>
    </row>
    <row r="612" spans="3:11" x14ac:dyDescent="0.25">
      <c r="C612" s="66"/>
      <c r="E612" s="132"/>
      <c r="F612" s="132"/>
      <c r="G612" s="133"/>
      <c r="H612" s="40"/>
      <c r="I612" s="40"/>
      <c r="J612" s="136"/>
      <c r="K612" s="66"/>
    </row>
    <row r="613" spans="3:11" x14ac:dyDescent="0.25">
      <c r="C613" s="66"/>
      <c r="E613" s="132"/>
      <c r="F613" s="132"/>
      <c r="G613" s="133"/>
      <c r="H613" s="40"/>
      <c r="I613" s="40"/>
      <c r="J613" s="136"/>
      <c r="K613" s="66"/>
    </row>
    <row r="614" spans="3:11" x14ac:dyDescent="0.25">
      <c r="C614" s="66"/>
      <c r="E614" s="132"/>
      <c r="F614" s="132"/>
      <c r="G614" s="133"/>
      <c r="H614" s="40"/>
      <c r="I614" s="40"/>
      <c r="J614" s="136"/>
      <c r="K614" s="66"/>
    </row>
    <row r="615" spans="3:11" x14ac:dyDescent="0.25">
      <c r="C615" s="66"/>
      <c r="E615" s="132"/>
      <c r="F615" s="132"/>
      <c r="G615" s="133"/>
      <c r="H615" s="40"/>
      <c r="I615" s="40"/>
      <c r="J615" s="136"/>
      <c r="K615" s="66"/>
    </row>
    <row r="616" spans="3:11" x14ac:dyDescent="0.25">
      <c r="C616" s="66"/>
      <c r="E616" s="132"/>
      <c r="F616" s="132"/>
      <c r="G616" s="133"/>
      <c r="H616" s="40"/>
      <c r="I616" s="40"/>
      <c r="J616" s="136"/>
      <c r="K616" s="66"/>
    </row>
    <row r="617" spans="3:11" x14ac:dyDescent="0.25">
      <c r="C617" s="66"/>
      <c r="E617" s="132"/>
      <c r="F617" s="132"/>
      <c r="G617" s="133"/>
      <c r="H617" s="40"/>
      <c r="I617" s="40"/>
      <c r="J617" s="136"/>
      <c r="K617" s="66"/>
    </row>
    <row r="618" spans="3:11" x14ac:dyDescent="0.25">
      <c r="C618" s="66"/>
      <c r="E618" s="132"/>
      <c r="F618" s="132"/>
      <c r="G618" s="133"/>
      <c r="H618" s="40"/>
      <c r="I618" s="40"/>
      <c r="J618" s="136"/>
      <c r="K618" s="66"/>
    </row>
    <row r="619" spans="3:11" x14ac:dyDescent="0.25">
      <c r="C619" s="66"/>
      <c r="E619" s="132"/>
      <c r="F619" s="132"/>
      <c r="G619" s="133"/>
      <c r="H619" s="40"/>
      <c r="I619" s="40"/>
      <c r="J619" s="136"/>
      <c r="K619" s="66"/>
    </row>
    <row r="620" spans="3:11" x14ac:dyDescent="0.25">
      <c r="C620" s="66"/>
      <c r="E620" s="132"/>
      <c r="F620" s="132"/>
      <c r="G620" s="133"/>
      <c r="H620" s="40"/>
      <c r="I620" s="40"/>
      <c r="J620" s="136"/>
      <c r="K620" s="66"/>
    </row>
    <row r="621" spans="3:11" x14ac:dyDescent="0.25">
      <c r="C621" s="66"/>
      <c r="E621" s="132"/>
      <c r="F621" s="132"/>
      <c r="G621" s="133"/>
      <c r="H621" s="40"/>
      <c r="I621" s="40"/>
      <c r="J621" s="136"/>
      <c r="K621" s="66"/>
    </row>
    <row r="622" spans="3:11" x14ac:dyDescent="0.25">
      <c r="C622" s="66"/>
      <c r="E622" s="132"/>
      <c r="F622" s="132"/>
      <c r="G622" s="133"/>
      <c r="H622" s="40"/>
      <c r="I622" s="40"/>
      <c r="J622" s="136"/>
      <c r="K622" s="66"/>
    </row>
    <row r="623" spans="3:11" x14ac:dyDescent="0.25">
      <c r="C623" s="66"/>
      <c r="E623" s="132"/>
      <c r="F623" s="132"/>
      <c r="G623" s="133"/>
      <c r="H623" s="40"/>
      <c r="I623" s="40"/>
      <c r="J623" s="136"/>
      <c r="K623" s="66"/>
    </row>
    <row r="624" spans="3:11" x14ac:dyDescent="0.25">
      <c r="C624" s="66"/>
      <c r="E624" s="132"/>
      <c r="F624" s="132"/>
      <c r="G624" s="133"/>
      <c r="H624" s="40"/>
      <c r="I624" s="40"/>
      <c r="J624" s="136"/>
      <c r="K624" s="66"/>
    </row>
    <row r="625" spans="3:11" x14ac:dyDescent="0.25">
      <c r="C625" s="66"/>
      <c r="E625" s="132"/>
      <c r="F625" s="132"/>
      <c r="G625" s="133"/>
      <c r="H625" s="40"/>
      <c r="I625" s="40"/>
      <c r="J625" s="136"/>
      <c r="K625" s="66"/>
    </row>
    <row r="626" spans="3:11" x14ac:dyDescent="0.25">
      <c r="C626" s="66"/>
      <c r="E626" s="132"/>
      <c r="F626" s="132"/>
      <c r="G626" s="133"/>
      <c r="H626" s="40"/>
      <c r="I626" s="40"/>
      <c r="J626" s="136"/>
      <c r="K626" s="66"/>
    </row>
    <row r="627" spans="3:11" x14ac:dyDescent="0.25">
      <c r="C627" s="66"/>
      <c r="E627" s="132"/>
      <c r="F627" s="132"/>
      <c r="G627" s="133"/>
      <c r="H627" s="40"/>
      <c r="I627" s="40"/>
      <c r="J627" s="136"/>
      <c r="K627" s="66"/>
    </row>
    <row r="628" spans="3:11" x14ac:dyDescent="0.25">
      <c r="C628" s="66"/>
      <c r="E628" s="132"/>
      <c r="F628" s="132"/>
      <c r="G628" s="133"/>
      <c r="H628" s="40"/>
      <c r="I628" s="40"/>
      <c r="J628" s="136"/>
      <c r="K628" s="66"/>
    </row>
    <row r="629" spans="3:11" x14ac:dyDescent="0.25">
      <c r="C629" s="66"/>
      <c r="E629" s="132"/>
      <c r="F629" s="132"/>
      <c r="G629" s="133"/>
      <c r="H629" s="40"/>
      <c r="I629" s="40"/>
      <c r="J629" s="136"/>
      <c r="K629" s="66"/>
    </row>
    <row r="630" spans="3:11" x14ac:dyDescent="0.25">
      <c r="C630" s="66"/>
      <c r="E630" s="132"/>
      <c r="F630" s="132"/>
      <c r="G630" s="133"/>
      <c r="H630" s="40"/>
      <c r="I630" s="40"/>
      <c r="J630" s="136"/>
      <c r="K630" s="66"/>
    </row>
    <row r="631" spans="3:11" x14ac:dyDescent="0.25">
      <c r="C631" s="66"/>
      <c r="E631" s="132"/>
      <c r="F631" s="132"/>
      <c r="G631" s="133"/>
      <c r="H631" s="40"/>
      <c r="I631" s="40"/>
      <c r="J631" s="136"/>
      <c r="K631" s="66"/>
    </row>
    <row r="632" spans="3:11" x14ac:dyDescent="0.25">
      <c r="C632" s="66"/>
      <c r="E632" s="132"/>
      <c r="F632" s="132"/>
      <c r="G632" s="133"/>
      <c r="H632" s="40"/>
      <c r="I632" s="40"/>
      <c r="J632" s="136"/>
      <c r="K632" s="66"/>
    </row>
    <row r="633" spans="3:11" x14ac:dyDescent="0.25">
      <c r="C633" s="66"/>
      <c r="E633" s="132"/>
      <c r="F633" s="132"/>
      <c r="G633" s="133"/>
      <c r="H633" s="40"/>
      <c r="I633" s="40"/>
      <c r="J633" s="136"/>
      <c r="K633" s="66"/>
    </row>
    <row r="634" spans="3:11" x14ac:dyDescent="0.25">
      <c r="C634" s="66"/>
      <c r="E634" s="132"/>
      <c r="F634" s="132"/>
      <c r="G634" s="133"/>
      <c r="H634" s="40"/>
      <c r="I634" s="40"/>
      <c r="J634" s="136"/>
      <c r="K634" s="66"/>
    </row>
    <row r="635" spans="3:11" x14ac:dyDescent="0.25">
      <c r="C635" s="66"/>
      <c r="E635" s="132"/>
      <c r="F635" s="132"/>
      <c r="G635" s="133"/>
      <c r="H635" s="40"/>
      <c r="I635" s="40"/>
      <c r="J635" s="136"/>
      <c r="K635" s="66"/>
    </row>
    <row r="636" spans="3:11" x14ac:dyDescent="0.25">
      <c r="C636" s="66"/>
      <c r="E636" s="132"/>
      <c r="F636" s="132"/>
      <c r="G636" s="133"/>
      <c r="H636" s="40"/>
      <c r="I636" s="40"/>
      <c r="J636" s="136"/>
      <c r="K636" s="66"/>
    </row>
    <row r="637" spans="3:11" x14ac:dyDescent="0.25">
      <c r="C637" s="66"/>
      <c r="E637" s="132"/>
      <c r="F637" s="132"/>
      <c r="G637" s="133"/>
      <c r="H637" s="40"/>
      <c r="I637" s="40"/>
      <c r="J637" s="136"/>
      <c r="K637" s="66"/>
    </row>
    <row r="638" spans="3:11" x14ac:dyDescent="0.25">
      <c r="C638" s="66"/>
      <c r="E638" s="132"/>
      <c r="F638" s="132"/>
      <c r="G638" s="133"/>
      <c r="H638" s="40"/>
      <c r="I638" s="40"/>
      <c r="J638" s="136"/>
      <c r="K638" s="66"/>
    </row>
    <row r="639" spans="3:11" x14ac:dyDescent="0.25">
      <c r="C639" s="66"/>
      <c r="E639" s="132"/>
      <c r="F639" s="132"/>
      <c r="G639" s="133"/>
      <c r="H639" s="40"/>
      <c r="I639" s="40"/>
      <c r="J639" s="136"/>
      <c r="K639" s="66"/>
    </row>
    <row r="640" spans="3:11" x14ac:dyDescent="0.25">
      <c r="C640" s="66"/>
      <c r="E640" s="132"/>
      <c r="F640" s="132"/>
      <c r="G640" s="133"/>
      <c r="H640" s="40"/>
      <c r="I640" s="40"/>
      <c r="J640" s="136"/>
      <c r="K640" s="66"/>
    </row>
    <row r="641" spans="3:11" x14ac:dyDescent="0.25">
      <c r="C641" s="66"/>
      <c r="E641" s="132"/>
      <c r="F641" s="132"/>
      <c r="G641" s="133"/>
      <c r="H641" s="40"/>
      <c r="I641" s="40"/>
      <c r="J641" s="136"/>
      <c r="K641" s="66"/>
    </row>
    <row r="642" spans="3:11" x14ac:dyDescent="0.25">
      <c r="C642" s="66"/>
      <c r="E642" s="132"/>
      <c r="F642" s="132"/>
      <c r="G642" s="133"/>
      <c r="H642" s="40"/>
      <c r="I642" s="40"/>
      <c r="J642" s="136"/>
      <c r="K642" s="66"/>
    </row>
    <row r="643" spans="3:11" x14ac:dyDescent="0.25">
      <c r="C643" s="66"/>
      <c r="E643" s="132"/>
      <c r="F643" s="132"/>
      <c r="G643" s="133"/>
      <c r="H643" s="40"/>
      <c r="I643" s="40"/>
      <c r="J643" s="136"/>
      <c r="K643" s="66"/>
    </row>
    <row r="644" spans="3:11" x14ac:dyDescent="0.25">
      <c r="C644" s="66"/>
      <c r="E644" s="132"/>
      <c r="F644" s="132"/>
      <c r="G644" s="133"/>
      <c r="H644" s="40"/>
      <c r="I644" s="40"/>
      <c r="J644" s="136"/>
      <c r="K644" s="66"/>
    </row>
    <row r="645" spans="3:11" x14ac:dyDescent="0.25">
      <c r="C645" s="66"/>
      <c r="E645" s="132"/>
      <c r="F645" s="132"/>
      <c r="G645" s="133"/>
      <c r="H645" s="40"/>
      <c r="I645" s="40"/>
      <c r="J645" s="136"/>
      <c r="K645" s="66"/>
    </row>
    <row r="646" spans="3:11" x14ac:dyDescent="0.25">
      <c r="C646" s="66"/>
      <c r="E646" s="132"/>
      <c r="F646" s="132"/>
      <c r="G646" s="133"/>
      <c r="H646" s="40"/>
      <c r="I646" s="40"/>
      <c r="J646" s="136"/>
      <c r="K646" s="66"/>
    </row>
    <row r="647" spans="3:11" x14ac:dyDescent="0.25">
      <c r="C647" s="66"/>
      <c r="E647" s="132"/>
      <c r="F647" s="132"/>
      <c r="G647" s="133"/>
      <c r="H647" s="40"/>
      <c r="I647" s="40"/>
      <c r="J647" s="136"/>
      <c r="K647" s="66"/>
    </row>
    <row r="648" spans="3:11" x14ac:dyDescent="0.25">
      <c r="C648" s="66"/>
      <c r="E648" s="132"/>
      <c r="F648" s="132"/>
      <c r="G648" s="133"/>
      <c r="H648" s="40"/>
      <c r="I648" s="40"/>
      <c r="J648" s="136"/>
      <c r="K648" s="66"/>
    </row>
    <row r="649" spans="3:11" x14ac:dyDescent="0.25">
      <c r="C649" s="66"/>
      <c r="E649" s="132"/>
      <c r="F649" s="132"/>
      <c r="G649" s="133"/>
      <c r="H649" s="40"/>
      <c r="I649" s="40"/>
      <c r="J649" s="136"/>
      <c r="K649" s="66"/>
    </row>
    <row r="650" spans="3:11" x14ac:dyDescent="0.25">
      <c r="C650" s="66"/>
      <c r="E650" s="132"/>
      <c r="F650" s="132"/>
      <c r="G650" s="133"/>
      <c r="H650" s="40"/>
      <c r="I650" s="40"/>
      <c r="J650" s="136"/>
      <c r="K650" s="66"/>
    </row>
    <row r="651" spans="3:11" x14ac:dyDescent="0.25">
      <c r="C651" s="66"/>
      <c r="E651" s="132"/>
      <c r="F651" s="132"/>
      <c r="G651" s="133"/>
      <c r="H651" s="40"/>
      <c r="I651" s="40"/>
      <c r="J651" s="136"/>
      <c r="K651" s="66"/>
    </row>
    <row r="652" spans="3:11" x14ac:dyDescent="0.25">
      <c r="C652" s="66"/>
      <c r="E652" s="132"/>
      <c r="F652" s="132"/>
      <c r="G652" s="133"/>
      <c r="H652" s="40"/>
      <c r="I652" s="40"/>
      <c r="J652" s="136"/>
      <c r="K652" s="66"/>
    </row>
    <row r="653" spans="3:11" x14ac:dyDescent="0.25">
      <c r="C653" s="66"/>
      <c r="E653" s="132"/>
      <c r="F653" s="132"/>
      <c r="G653" s="133"/>
      <c r="H653" s="40"/>
      <c r="I653" s="40"/>
      <c r="J653" s="136"/>
      <c r="K653" s="66"/>
    </row>
    <row r="654" spans="3:11" x14ac:dyDescent="0.25">
      <c r="C654" s="66"/>
      <c r="E654" s="132"/>
      <c r="F654" s="132"/>
      <c r="G654" s="133"/>
      <c r="H654" s="40"/>
      <c r="I654" s="40"/>
      <c r="J654" s="136"/>
      <c r="K654" s="66"/>
    </row>
    <row r="655" spans="3:11" x14ac:dyDescent="0.25">
      <c r="C655" s="66"/>
      <c r="E655" s="132"/>
      <c r="F655" s="132"/>
      <c r="G655" s="133"/>
      <c r="H655" s="40"/>
      <c r="I655" s="40"/>
      <c r="J655" s="136"/>
      <c r="K655" s="66"/>
    </row>
    <row r="656" spans="3:11" x14ac:dyDescent="0.25">
      <c r="C656" s="66"/>
      <c r="E656" s="132"/>
      <c r="F656" s="132"/>
      <c r="G656" s="133"/>
      <c r="H656" s="40"/>
      <c r="I656" s="40"/>
      <c r="J656" s="136"/>
      <c r="K656" s="66"/>
    </row>
    <row r="657" spans="3:11" x14ac:dyDescent="0.25">
      <c r="C657" s="66"/>
      <c r="E657" s="132"/>
      <c r="F657" s="132"/>
      <c r="G657" s="133"/>
      <c r="H657" s="40"/>
      <c r="I657" s="40"/>
      <c r="J657" s="136"/>
      <c r="K657" s="66"/>
    </row>
    <row r="658" spans="3:11" x14ac:dyDescent="0.25">
      <c r="C658" s="66"/>
      <c r="E658" s="132"/>
      <c r="F658" s="132"/>
      <c r="G658" s="133"/>
      <c r="H658" s="40"/>
      <c r="I658" s="40"/>
      <c r="J658" s="136"/>
      <c r="K658" s="66"/>
    </row>
    <row r="659" spans="3:11" x14ac:dyDescent="0.25">
      <c r="C659" s="66"/>
      <c r="E659" s="132"/>
      <c r="F659" s="132"/>
      <c r="G659" s="133"/>
      <c r="H659" s="40"/>
      <c r="I659" s="40"/>
      <c r="J659" s="136"/>
      <c r="K659" s="66"/>
    </row>
    <row r="660" spans="3:11" x14ac:dyDescent="0.25">
      <c r="C660" s="66"/>
      <c r="E660" s="132"/>
      <c r="F660" s="132"/>
      <c r="G660" s="133"/>
      <c r="H660" s="40"/>
      <c r="I660" s="40"/>
      <c r="J660" s="136"/>
      <c r="K660" s="66"/>
    </row>
    <row r="661" spans="3:11" x14ac:dyDescent="0.25">
      <c r="C661" s="66"/>
      <c r="E661" s="132"/>
      <c r="F661" s="132"/>
      <c r="G661" s="133"/>
      <c r="H661" s="40"/>
      <c r="I661" s="40"/>
      <c r="J661" s="136"/>
      <c r="K661" s="66"/>
    </row>
    <row r="662" spans="3:11" x14ac:dyDescent="0.25">
      <c r="C662" s="66"/>
      <c r="E662" s="132"/>
      <c r="F662" s="132"/>
      <c r="G662" s="133"/>
      <c r="H662" s="40"/>
      <c r="I662" s="40"/>
      <c r="J662" s="136"/>
      <c r="K662" s="66"/>
    </row>
    <row r="663" spans="3:11" x14ac:dyDescent="0.25">
      <c r="C663" s="66"/>
      <c r="E663" s="132"/>
      <c r="F663" s="132"/>
      <c r="G663" s="133"/>
      <c r="H663" s="40"/>
      <c r="I663" s="40"/>
      <c r="J663" s="136"/>
      <c r="K663" s="66"/>
    </row>
    <row r="664" spans="3:11" x14ac:dyDescent="0.25">
      <c r="C664" s="66"/>
      <c r="E664" s="132"/>
      <c r="F664" s="132"/>
      <c r="G664" s="133"/>
      <c r="H664" s="40"/>
      <c r="I664" s="40"/>
      <c r="J664" s="136"/>
      <c r="K664" s="66"/>
    </row>
    <row r="665" spans="3:11" x14ac:dyDescent="0.25">
      <c r="C665" s="66"/>
      <c r="E665" s="132"/>
      <c r="F665" s="132"/>
      <c r="G665" s="133"/>
      <c r="H665" s="40"/>
      <c r="I665" s="40"/>
      <c r="J665" s="136"/>
      <c r="K665" s="66"/>
    </row>
    <row r="666" spans="3:11" x14ac:dyDescent="0.25">
      <c r="C666" s="66"/>
      <c r="E666" s="132"/>
      <c r="F666" s="132"/>
      <c r="G666" s="133"/>
      <c r="H666" s="40"/>
      <c r="I666" s="40"/>
      <c r="J666" s="136"/>
      <c r="K666" s="66"/>
    </row>
    <row r="667" spans="3:11" x14ac:dyDescent="0.25">
      <c r="C667" s="66"/>
      <c r="E667" s="132"/>
      <c r="F667" s="132"/>
      <c r="G667" s="133"/>
      <c r="H667" s="40"/>
      <c r="I667" s="40"/>
      <c r="J667" s="136"/>
      <c r="K667" s="66"/>
    </row>
    <row r="668" spans="3:11" x14ac:dyDescent="0.25">
      <c r="C668" s="66"/>
      <c r="E668" s="132"/>
      <c r="F668" s="132"/>
      <c r="G668" s="133"/>
      <c r="H668" s="40"/>
      <c r="I668" s="40"/>
      <c r="J668" s="136"/>
      <c r="K668" s="66"/>
    </row>
    <row r="669" spans="3:11" x14ac:dyDescent="0.25">
      <c r="C669" s="66"/>
      <c r="E669" s="132"/>
      <c r="F669" s="132"/>
      <c r="G669" s="133"/>
      <c r="H669" s="40"/>
      <c r="I669" s="40"/>
      <c r="J669" s="136"/>
      <c r="K669" s="66"/>
    </row>
    <row r="670" spans="3:11" x14ac:dyDescent="0.25">
      <c r="C670" s="66"/>
      <c r="E670" s="132"/>
      <c r="F670" s="132"/>
      <c r="G670" s="133"/>
      <c r="H670" s="40"/>
      <c r="I670" s="40"/>
      <c r="J670" s="136"/>
      <c r="K670" s="66"/>
    </row>
    <row r="671" spans="3:11" x14ac:dyDescent="0.25">
      <c r="C671" s="66"/>
      <c r="E671" s="132"/>
      <c r="F671" s="132"/>
      <c r="G671" s="133"/>
      <c r="H671" s="40"/>
      <c r="I671" s="40"/>
      <c r="J671" s="136"/>
      <c r="K671" s="66"/>
    </row>
    <row r="672" spans="3:11" x14ac:dyDescent="0.25">
      <c r="C672" s="66"/>
      <c r="E672" s="132"/>
      <c r="F672" s="132"/>
      <c r="G672" s="133"/>
      <c r="H672" s="40"/>
      <c r="I672" s="40"/>
      <c r="J672" s="136"/>
      <c r="K672" s="66"/>
    </row>
    <row r="673" spans="3:11" x14ac:dyDescent="0.25">
      <c r="C673" s="66"/>
      <c r="E673" s="132"/>
      <c r="F673" s="132"/>
      <c r="G673" s="133"/>
      <c r="H673" s="40"/>
      <c r="I673" s="40"/>
      <c r="J673" s="136"/>
      <c r="K673" s="66"/>
    </row>
    <row r="674" spans="3:11" x14ac:dyDescent="0.25">
      <c r="C674" s="66"/>
      <c r="E674" s="132"/>
      <c r="F674" s="132"/>
      <c r="G674" s="133"/>
      <c r="H674" s="40"/>
      <c r="I674" s="40"/>
      <c r="J674" s="136"/>
      <c r="K674" s="66"/>
    </row>
    <row r="675" spans="3:11" x14ac:dyDescent="0.25">
      <c r="C675" s="66"/>
      <c r="E675" s="132"/>
      <c r="F675" s="132"/>
      <c r="G675" s="133"/>
      <c r="H675" s="40"/>
      <c r="I675" s="40"/>
      <c r="J675" s="136"/>
      <c r="K675" s="66"/>
    </row>
    <row r="676" spans="3:11" x14ac:dyDescent="0.25">
      <c r="C676" s="66"/>
      <c r="E676" s="132"/>
      <c r="F676" s="132"/>
      <c r="G676" s="133"/>
      <c r="H676" s="40"/>
      <c r="I676" s="40"/>
      <c r="J676" s="136"/>
      <c r="K676" s="66"/>
    </row>
    <row r="677" spans="3:11" x14ac:dyDescent="0.25">
      <c r="C677" s="66"/>
      <c r="E677" s="132"/>
      <c r="F677" s="132"/>
      <c r="G677" s="133"/>
      <c r="H677" s="40"/>
      <c r="I677" s="40"/>
      <c r="J677" s="136"/>
      <c r="K677" s="66"/>
    </row>
    <row r="678" spans="3:11" x14ac:dyDescent="0.25">
      <c r="C678" s="66"/>
      <c r="E678" s="132"/>
      <c r="F678" s="132"/>
      <c r="G678" s="133"/>
      <c r="H678" s="40"/>
      <c r="I678" s="40"/>
      <c r="J678" s="136"/>
      <c r="K678" s="66"/>
    </row>
    <row r="679" spans="3:11" x14ac:dyDescent="0.25">
      <c r="C679" s="66"/>
      <c r="E679" s="132"/>
      <c r="F679" s="132"/>
      <c r="G679" s="133"/>
      <c r="H679" s="40"/>
      <c r="I679" s="40"/>
      <c r="J679" s="136"/>
      <c r="K679" s="66"/>
    </row>
    <row r="680" spans="3:11" x14ac:dyDescent="0.25">
      <c r="C680" s="66"/>
      <c r="E680" s="132"/>
      <c r="F680" s="132"/>
      <c r="G680" s="133"/>
      <c r="H680" s="40"/>
      <c r="I680" s="40"/>
      <c r="J680" s="136"/>
      <c r="K680" s="66"/>
    </row>
    <row r="681" spans="3:11" x14ac:dyDescent="0.25">
      <c r="C681" s="66"/>
      <c r="E681" s="132"/>
      <c r="F681" s="132"/>
      <c r="G681" s="133"/>
      <c r="H681" s="40"/>
      <c r="I681" s="40"/>
      <c r="J681" s="136"/>
      <c r="K681" s="66"/>
    </row>
    <row r="682" spans="3:11" x14ac:dyDescent="0.25">
      <c r="C682" s="66"/>
      <c r="E682" s="132"/>
      <c r="F682" s="132"/>
      <c r="G682" s="133"/>
      <c r="H682" s="40"/>
      <c r="I682" s="40"/>
      <c r="J682" s="136"/>
      <c r="K682" s="66"/>
    </row>
    <row r="683" spans="3:11" x14ac:dyDescent="0.25">
      <c r="C683" s="66"/>
      <c r="E683" s="132"/>
      <c r="F683" s="132"/>
      <c r="G683" s="133"/>
      <c r="H683" s="40"/>
      <c r="I683" s="40"/>
      <c r="J683" s="136"/>
      <c r="K683" s="66"/>
    </row>
    <row r="684" spans="3:11" x14ac:dyDescent="0.25">
      <c r="C684" s="66"/>
      <c r="E684" s="132"/>
      <c r="F684" s="132"/>
      <c r="G684" s="133"/>
      <c r="H684" s="40"/>
      <c r="I684" s="40"/>
      <c r="J684" s="136"/>
      <c r="K684" s="66"/>
    </row>
    <row r="685" spans="3:11" x14ac:dyDescent="0.25">
      <c r="C685" s="66"/>
      <c r="E685" s="132"/>
      <c r="F685" s="132"/>
      <c r="G685" s="133"/>
      <c r="H685" s="40"/>
      <c r="I685" s="40"/>
      <c r="J685" s="136"/>
      <c r="K685" s="66"/>
    </row>
    <row r="686" spans="3:11" x14ac:dyDescent="0.25">
      <c r="C686" s="66"/>
      <c r="E686" s="132"/>
      <c r="F686" s="132"/>
      <c r="G686" s="133"/>
      <c r="H686" s="40"/>
      <c r="I686" s="40"/>
      <c r="J686" s="136"/>
      <c r="K686" s="66"/>
    </row>
    <row r="687" spans="3:11" x14ac:dyDescent="0.25">
      <c r="C687" s="66"/>
      <c r="E687" s="132"/>
      <c r="F687" s="132"/>
      <c r="G687" s="133"/>
      <c r="H687" s="40"/>
      <c r="I687" s="40"/>
      <c r="J687" s="136"/>
      <c r="K687" s="66"/>
    </row>
    <row r="688" spans="3:11" x14ac:dyDescent="0.25">
      <c r="C688" s="66"/>
      <c r="E688" s="132"/>
      <c r="F688" s="132"/>
      <c r="G688" s="133"/>
      <c r="H688" s="40"/>
      <c r="I688" s="40"/>
      <c r="J688" s="136"/>
      <c r="K688" s="66"/>
    </row>
    <row r="689" spans="3:11" x14ac:dyDescent="0.25">
      <c r="C689" s="66"/>
      <c r="E689" s="132"/>
      <c r="F689" s="132"/>
      <c r="G689" s="133"/>
      <c r="H689" s="40"/>
      <c r="I689" s="40"/>
      <c r="J689" s="136"/>
      <c r="K689" s="66"/>
    </row>
    <row r="690" spans="3:11" x14ac:dyDescent="0.25">
      <c r="C690" s="66"/>
      <c r="E690" s="132"/>
      <c r="F690" s="132"/>
      <c r="G690" s="133"/>
      <c r="H690" s="40"/>
      <c r="I690" s="40"/>
      <c r="J690" s="136"/>
      <c r="K690" s="66"/>
    </row>
    <row r="691" spans="3:11" x14ac:dyDescent="0.25">
      <c r="C691" s="66"/>
      <c r="E691" s="132"/>
      <c r="F691" s="132"/>
      <c r="G691" s="133"/>
      <c r="H691" s="40"/>
      <c r="I691" s="40"/>
      <c r="J691" s="136"/>
      <c r="K691" s="66"/>
    </row>
    <row r="692" spans="3:11" x14ac:dyDescent="0.25">
      <c r="C692" s="66"/>
      <c r="E692" s="132"/>
      <c r="F692" s="132"/>
      <c r="G692" s="133"/>
      <c r="H692" s="40"/>
      <c r="I692" s="40"/>
      <c r="J692" s="136"/>
      <c r="K692" s="66"/>
    </row>
    <row r="693" spans="3:11" x14ac:dyDescent="0.25">
      <c r="C693" s="66"/>
      <c r="E693" s="132"/>
      <c r="F693" s="132"/>
      <c r="G693" s="133"/>
      <c r="H693" s="40"/>
      <c r="I693" s="40"/>
      <c r="J693" s="136"/>
      <c r="K693" s="66"/>
    </row>
    <row r="694" spans="3:11" x14ac:dyDescent="0.25">
      <c r="C694" s="66"/>
      <c r="E694" s="132"/>
      <c r="F694" s="132"/>
      <c r="G694" s="133"/>
      <c r="H694" s="40"/>
      <c r="I694" s="40"/>
      <c r="J694" s="136"/>
      <c r="K694" s="66"/>
    </row>
    <row r="695" spans="3:11" x14ac:dyDescent="0.25">
      <c r="C695" s="66"/>
      <c r="E695" s="132"/>
      <c r="F695" s="132"/>
      <c r="G695" s="133"/>
      <c r="H695" s="40"/>
      <c r="I695" s="40"/>
      <c r="J695" s="136"/>
      <c r="K695" s="66"/>
    </row>
    <row r="696" spans="3:11" x14ac:dyDescent="0.25">
      <c r="C696" s="66"/>
      <c r="E696" s="132"/>
      <c r="F696" s="132"/>
      <c r="G696" s="133"/>
      <c r="H696" s="40"/>
      <c r="I696" s="40"/>
      <c r="J696" s="136"/>
      <c r="K696" s="66"/>
    </row>
    <row r="697" spans="3:11" x14ac:dyDescent="0.25">
      <c r="C697" s="66"/>
      <c r="E697" s="132"/>
      <c r="F697" s="132"/>
      <c r="G697" s="133"/>
      <c r="H697" s="40"/>
      <c r="I697" s="40"/>
      <c r="J697" s="136"/>
      <c r="K697" s="66"/>
    </row>
    <row r="698" spans="3:11" x14ac:dyDescent="0.25">
      <c r="C698" s="66"/>
      <c r="E698" s="132"/>
      <c r="F698" s="132"/>
      <c r="G698" s="133"/>
      <c r="H698" s="40"/>
      <c r="I698" s="40"/>
      <c r="J698" s="136"/>
      <c r="K698" s="66"/>
    </row>
    <row r="699" spans="3:11" x14ac:dyDescent="0.25">
      <c r="C699" s="66"/>
      <c r="E699" s="132"/>
      <c r="F699" s="132"/>
      <c r="G699" s="133"/>
      <c r="H699" s="40"/>
      <c r="I699" s="40"/>
      <c r="J699" s="136"/>
      <c r="K699" s="66"/>
    </row>
    <row r="700" spans="3:11" x14ac:dyDescent="0.25">
      <c r="C700" s="66"/>
      <c r="E700" s="132"/>
      <c r="F700" s="132"/>
      <c r="G700" s="133"/>
      <c r="H700" s="40"/>
      <c r="I700" s="40"/>
      <c r="J700" s="136"/>
      <c r="K700" s="66"/>
    </row>
    <row r="701" spans="3:11" x14ac:dyDescent="0.25">
      <c r="C701" s="66"/>
      <c r="E701" s="132"/>
      <c r="F701" s="132"/>
      <c r="G701" s="133"/>
      <c r="H701" s="40"/>
      <c r="I701" s="40"/>
      <c r="J701" s="136"/>
      <c r="K701" s="66"/>
    </row>
    <row r="702" spans="3:11" x14ac:dyDescent="0.25">
      <c r="C702" s="66"/>
      <c r="E702" s="132"/>
      <c r="F702" s="132"/>
      <c r="G702" s="133"/>
      <c r="H702" s="40"/>
      <c r="I702" s="40"/>
      <c r="J702" s="136"/>
      <c r="K702" s="66"/>
    </row>
    <row r="703" spans="3:11" x14ac:dyDescent="0.25">
      <c r="C703" s="66"/>
      <c r="E703" s="132"/>
      <c r="F703" s="132"/>
      <c r="G703" s="133"/>
      <c r="H703" s="40"/>
      <c r="I703" s="40"/>
      <c r="J703" s="136"/>
      <c r="K703" s="66"/>
    </row>
    <row r="704" spans="3:11" x14ac:dyDescent="0.25">
      <c r="C704" s="66"/>
      <c r="E704" s="132"/>
      <c r="F704" s="132"/>
      <c r="G704" s="133"/>
      <c r="H704" s="40"/>
      <c r="I704" s="40"/>
      <c r="J704" s="136"/>
      <c r="K704" s="66"/>
    </row>
    <row r="705" spans="3:11" x14ac:dyDescent="0.25">
      <c r="C705" s="66"/>
      <c r="E705" s="132"/>
      <c r="F705" s="132"/>
      <c r="G705" s="133"/>
      <c r="H705" s="40"/>
      <c r="I705" s="40"/>
      <c r="J705" s="136"/>
      <c r="K705" s="66"/>
    </row>
    <row r="706" spans="3:11" x14ac:dyDescent="0.25">
      <c r="C706" s="66"/>
      <c r="E706" s="132"/>
      <c r="F706" s="132"/>
      <c r="G706" s="133"/>
      <c r="H706" s="40"/>
      <c r="I706" s="40"/>
      <c r="J706" s="136"/>
      <c r="K706" s="66"/>
    </row>
    <row r="707" spans="3:11" x14ac:dyDescent="0.25">
      <c r="C707" s="66"/>
      <c r="E707" s="132"/>
      <c r="F707" s="132"/>
      <c r="G707" s="133"/>
      <c r="H707" s="40"/>
      <c r="I707" s="40"/>
      <c r="J707" s="136"/>
      <c r="K707" s="66"/>
    </row>
    <row r="708" spans="3:11" x14ac:dyDescent="0.25">
      <c r="C708" s="66"/>
      <c r="E708" s="132"/>
      <c r="F708" s="132"/>
      <c r="G708" s="133"/>
      <c r="H708" s="40"/>
      <c r="I708" s="40"/>
      <c r="J708" s="136"/>
      <c r="K708" s="66"/>
    </row>
    <row r="709" spans="3:11" x14ac:dyDescent="0.25">
      <c r="C709" s="66"/>
      <c r="E709" s="132"/>
      <c r="F709" s="132"/>
      <c r="G709" s="133"/>
      <c r="H709" s="40"/>
      <c r="I709" s="40"/>
      <c r="J709" s="136"/>
      <c r="K709" s="66"/>
    </row>
    <row r="710" spans="3:11" x14ac:dyDescent="0.25">
      <c r="C710" s="66"/>
      <c r="E710" s="132"/>
      <c r="F710" s="132"/>
      <c r="G710" s="133"/>
      <c r="H710" s="40"/>
      <c r="I710" s="40"/>
      <c r="J710" s="136"/>
      <c r="K710" s="66"/>
    </row>
    <row r="711" spans="3:11" x14ac:dyDescent="0.25">
      <c r="C711" s="66"/>
      <c r="E711" s="132"/>
      <c r="F711" s="132"/>
      <c r="G711" s="133"/>
      <c r="H711" s="40"/>
      <c r="I711" s="40"/>
      <c r="J711" s="136"/>
      <c r="K711" s="66"/>
    </row>
    <row r="712" spans="3:11" x14ac:dyDescent="0.25">
      <c r="C712" s="66"/>
      <c r="E712" s="132"/>
      <c r="F712" s="132"/>
      <c r="G712" s="133"/>
      <c r="H712" s="40"/>
      <c r="I712" s="40"/>
      <c r="J712" s="136"/>
      <c r="K712" s="66"/>
    </row>
    <row r="713" spans="3:11" x14ac:dyDescent="0.25">
      <c r="C713" s="66"/>
      <c r="E713" s="132"/>
      <c r="F713" s="132"/>
      <c r="G713" s="133"/>
      <c r="H713" s="40"/>
      <c r="I713" s="40"/>
      <c r="J713" s="136"/>
      <c r="K713" s="66"/>
    </row>
    <row r="714" spans="3:11" x14ac:dyDescent="0.25">
      <c r="C714" s="66"/>
      <c r="E714" s="132"/>
      <c r="F714" s="132"/>
      <c r="G714" s="133"/>
      <c r="H714" s="40"/>
      <c r="I714" s="40"/>
      <c r="J714" s="136"/>
      <c r="K714" s="66"/>
    </row>
    <row r="715" spans="3:11" x14ac:dyDescent="0.25">
      <c r="C715" s="66"/>
      <c r="E715" s="132"/>
      <c r="F715" s="132"/>
      <c r="G715" s="133"/>
      <c r="H715" s="40"/>
      <c r="I715" s="40"/>
      <c r="J715" s="136"/>
      <c r="K715" s="66"/>
    </row>
    <row r="716" spans="3:11" x14ac:dyDescent="0.25">
      <c r="C716" s="66"/>
      <c r="E716" s="132"/>
      <c r="F716" s="132"/>
      <c r="G716" s="133"/>
      <c r="H716" s="40"/>
      <c r="I716" s="40"/>
      <c r="J716" s="136"/>
      <c r="K716" s="66"/>
    </row>
    <row r="717" spans="3:11" x14ac:dyDescent="0.25">
      <c r="C717" s="66"/>
      <c r="E717" s="132"/>
      <c r="F717" s="132"/>
      <c r="G717" s="133"/>
      <c r="H717" s="40"/>
      <c r="I717" s="40"/>
      <c r="J717" s="136"/>
      <c r="K717" s="66"/>
    </row>
    <row r="718" spans="3:11" x14ac:dyDescent="0.25">
      <c r="C718" s="66"/>
      <c r="E718" s="132"/>
      <c r="F718" s="132"/>
      <c r="G718" s="133"/>
      <c r="H718" s="40"/>
      <c r="I718" s="40"/>
      <c r="J718" s="136"/>
      <c r="K718" s="66"/>
    </row>
    <row r="719" spans="3:11" x14ac:dyDescent="0.25">
      <c r="C719" s="66"/>
      <c r="E719" s="132"/>
      <c r="F719" s="132"/>
      <c r="G719" s="133"/>
      <c r="H719" s="40"/>
      <c r="I719" s="40"/>
      <c r="J719" s="136"/>
      <c r="K719" s="66"/>
    </row>
    <row r="720" spans="3:11" x14ac:dyDescent="0.25">
      <c r="C720" s="66"/>
      <c r="E720" s="132"/>
      <c r="F720" s="132"/>
      <c r="G720" s="133"/>
      <c r="H720" s="40"/>
      <c r="I720" s="40"/>
      <c r="J720" s="136"/>
      <c r="K720" s="66"/>
    </row>
    <row r="721" spans="3:11" x14ac:dyDescent="0.25">
      <c r="C721" s="66"/>
      <c r="E721" s="132"/>
      <c r="F721" s="132"/>
      <c r="G721" s="133"/>
      <c r="H721" s="40"/>
      <c r="I721" s="40"/>
      <c r="J721" s="136"/>
      <c r="K721" s="66"/>
    </row>
    <row r="722" spans="3:11" x14ac:dyDescent="0.25">
      <c r="C722" s="66"/>
      <c r="E722" s="132"/>
      <c r="F722" s="132"/>
      <c r="G722" s="133"/>
      <c r="H722" s="40"/>
      <c r="I722" s="40"/>
      <c r="J722" s="136"/>
      <c r="K722" s="66"/>
    </row>
    <row r="723" spans="3:11" x14ac:dyDescent="0.25">
      <c r="C723" s="66"/>
      <c r="E723" s="132"/>
      <c r="F723" s="132"/>
      <c r="G723" s="133"/>
      <c r="H723" s="40"/>
      <c r="I723" s="40"/>
      <c r="J723" s="136"/>
      <c r="K723" s="66"/>
    </row>
    <row r="724" spans="3:11" x14ac:dyDescent="0.25">
      <c r="C724" s="66"/>
      <c r="E724" s="132"/>
      <c r="F724" s="132"/>
      <c r="G724" s="133"/>
      <c r="H724" s="40"/>
      <c r="I724" s="40"/>
      <c r="J724" s="136"/>
      <c r="K724" s="66"/>
    </row>
    <row r="725" spans="3:11" x14ac:dyDescent="0.25">
      <c r="C725" s="66"/>
      <c r="E725" s="132"/>
      <c r="F725" s="132"/>
      <c r="G725" s="133"/>
      <c r="H725" s="40"/>
      <c r="I725" s="40"/>
      <c r="J725" s="136"/>
      <c r="K725" s="66"/>
    </row>
    <row r="726" spans="3:11" x14ac:dyDescent="0.25">
      <c r="C726" s="66"/>
      <c r="E726" s="132"/>
      <c r="F726" s="132"/>
      <c r="G726" s="133"/>
      <c r="H726" s="40"/>
      <c r="I726" s="40"/>
      <c r="J726" s="136"/>
      <c r="K726" s="66"/>
    </row>
    <row r="727" spans="3:11" x14ac:dyDescent="0.25">
      <c r="C727" s="66"/>
      <c r="E727" s="132"/>
      <c r="F727" s="132"/>
      <c r="G727" s="133"/>
      <c r="H727" s="40"/>
      <c r="I727" s="40"/>
      <c r="J727" s="136"/>
      <c r="K727" s="66"/>
    </row>
    <row r="728" spans="3:11" x14ac:dyDescent="0.25">
      <c r="C728" s="66"/>
      <c r="E728" s="132"/>
      <c r="F728" s="132"/>
      <c r="G728" s="133"/>
      <c r="H728" s="40"/>
      <c r="I728" s="40"/>
      <c r="J728" s="136"/>
      <c r="K728" s="66"/>
    </row>
    <row r="729" spans="3:11" x14ac:dyDescent="0.25">
      <c r="C729" s="66"/>
      <c r="E729" s="132"/>
      <c r="F729" s="132"/>
      <c r="G729" s="133"/>
      <c r="H729" s="40"/>
      <c r="I729" s="40"/>
      <c r="J729" s="136"/>
      <c r="K729" s="66"/>
    </row>
    <row r="730" spans="3:11" x14ac:dyDescent="0.25">
      <c r="C730" s="66"/>
      <c r="E730" s="132"/>
      <c r="F730" s="132"/>
      <c r="G730" s="133"/>
      <c r="H730" s="40"/>
      <c r="I730" s="40"/>
      <c r="J730" s="136"/>
      <c r="K730" s="66"/>
    </row>
    <row r="731" spans="3:11" x14ac:dyDescent="0.25">
      <c r="C731" s="66"/>
      <c r="E731" s="132"/>
      <c r="F731" s="132"/>
      <c r="G731" s="133"/>
      <c r="H731" s="40"/>
      <c r="I731" s="40"/>
      <c r="J731" s="136"/>
      <c r="K731" s="66"/>
    </row>
    <row r="732" spans="3:11" x14ac:dyDescent="0.25">
      <c r="C732" s="66"/>
      <c r="E732" s="132"/>
      <c r="F732" s="132"/>
      <c r="G732" s="133"/>
      <c r="H732" s="40"/>
      <c r="I732" s="40"/>
      <c r="J732" s="136"/>
      <c r="K732" s="66"/>
    </row>
    <row r="733" spans="3:11" x14ac:dyDescent="0.25">
      <c r="C733" s="66"/>
      <c r="E733" s="132"/>
      <c r="F733" s="132"/>
      <c r="G733" s="133"/>
      <c r="H733" s="40"/>
      <c r="I733" s="40"/>
      <c r="J733" s="136"/>
      <c r="K733" s="66"/>
    </row>
    <row r="734" spans="3:11" x14ac:dyDescent="0.25">
      <c r="C734" s="66"/>
      <c r="E734" s="132"/>
      <c r="F734" s="132"/>
      <c r="G734" s="133"/>
      <c r="H734" s="40"/>
      <c r="I734" s="40"/>
      <c r="J734" s="136"/>
      <c r="K734" s="66"/>
    </row>
    <row r="735" spans="3:11" x14ac:dyDescent="0.25">
      <c r="C735" s="66"/>
      <c r="E735" s="132"/>
      <c r="F735" s="132"/>
      <c r="G735" s="133"/>
      <c r="H735" s="40"/>
      <c r="I735" s="40"/>
      <c r="J735" s="136"/>
      <c r="K735" s="66"/>
    </row>
    <row r="736" spans="3:11" x14ac:dyDescent="0.25">
      <c r="C736" s="66"/>
      <c r="E736" s="132"/>
      <c r="F736" s="132"/>
      <c r="G736" s="133"/>
      <c r="H736" s="40"/>
      <c r="I736" s="40"/>
      <c r="J736" s="136"/>
      <c r="K736" s="66"/>
    </row>
    <row r="737" spans="3:11" x14ac:dyDescent="0.25">
      <c r="C737" s="66"/>
      <c r="E737" s="132"/>
      <c r="F737" s="132"/>
      <c r="G737" s="133"/>
      <c r="H737" s="40"/>
      <c r="I737" s="40"/>
      <c r="J737" s="136"/>
      <c r="K737" s="66"/>
    </row>
    <row r="738" spans="3:11" x14ac:dyDescent="0.25">
      <c r="C738" s="66"/>
      <c r="E738" s="132"/>
      <c r="F738" s="132"/>
      <c r="G738" s="133"/>
      <c r="H738" s="40"/>
      <c r="I738" s="40"/>
      <c r="J738" s="136"/>
      <c r="K738" s="66"/>
    </row>
    <row r="739" spans="3:11" x14ac:dyDescent="0.25">
      <c r="C739" s="66"/>
      <c r="E739" s="132"/>
      <c r="F739" s="132"/>
      <c r="G739" s="133"/>
      <c r="H739" s="40"/>
      <c r="I739" s="40"/>
      <c r="J739" s="136"/>
      <c r="K739" s="66"/>
    </row>
    <row r="740" spans="3:11" x14ac:dyDescent="0.25">
      <c r="C740" s="66"/>
      <c r="E740" s="132"/>
      <c r="F740" s="132"/>
      <c r="G740" s="133"/>
      <c r="H740" s="40"/>
      <c r="I740" s="40"/>
      <c r="J740" s="136"/>
      <c r="K740" s="66"/>
    </row>
    <row r="741" spans="3:11" x14ac:dyDescent="0.25">
      <c r="C741" s="66"/>
      <c r="E741" s="132"/>
      <c r="F741" s="132"/>
      <c r="G741" s="133"/>
      <c r="H741" s="40"/>
      <c r="I741" s="40"/>
      <c r="J741" s="136"/>
      <c r="K741" s="66"/>
    </row>
    <row r="742" spans="3:11" x14ac:dyDescent="0.25">
      <c r="C742" s="66"/>
      <c r="E742" s="132"/>
      <c r="F742" s="132"/>
      <c r="G742" s="133"/>
      <c r="H742" s="40"/>
      <c r="I742" s="40"/>
      <c r="J742" s="136"/>
      <c r="K742" s="66"/>
    </row>
    <row r="743" spans="3:11" x14ac:dyDescent="0.25">
      <c r="C743" s="66"/>
      <c r="E743" s="132"/>
      <c r="F743" s="132"/>
      <c r="G743" s="133"/>
      <c r="H743" s="40"/>
      <c r="I743" s="40"/>
      <c r="J743" s="136"/>
      <c r="K743" s="66"/>
    </row>
    <row r="744" spans="3:11" x14ac:dyDescent="0.25">
      <c r="C744" s="66"/>
      <c r="E744" s="132"/>
      <c r="F744" s="132"/>
      <c r="G744" s="133"/>
      <c r="H744" s="40"/>
      <c r="I744" s="40"/>
      <c r="J744" s="136"/>
      <c r="K744" s="66"/>
    </row>
    <row r="745" spans="3:11" x14ac:dyDescent="0.25">
      <c r="C745" s="66"/>
      <c r="E745" s="132"/>
      <c r="F745" s="132"/>
      <c r="G745" s="133"/>
      <c r="H745" s="40"/>
      <c r="I745" s="40"/>
      <c r="J745" s="136"/>
      <c r="K745" s="66"/>
    </row>
    <row r="746" spans="3:11" x14ac:dyDescent="0.25">
      <c r="C746" s="66"/>
      <c r="E746" s="132"/>
      <c r="F746" s="132"/>
      <c r="G746" s="133"/>
      <c r="H746" s="40"/>
      <c r="I746" s="40"/>
      <c r="J746" s="136"/>
      <c r="K746" s="66"/>
    </row>
    <row r="747" spans="3:11" x14ac:dyDescent="0.25">
      <c r="C747" s="66"/>
      <c r="E747" s="132"/>
      <c r="F747" s="132"/>
      <c r="G747" s="133"/>
      <c r="H747" s="40"/>
      <c r="I747" s="40"/>
      <c r="J747" s="136"/>
      <c r="K747" s="66"/>
    </row>
    <row r="748" spans="3:11" x14ac:dyDescent="0.25">
      <c r="C748" s="66"/>
      <c r="E748" s="132"/>
      <c r="F748" s="132"/>
      <c r="G748" s="133"/>
      <c r="H748" s="40"/>
      <c r="I748" s="40"/>
      <c r="J748" s="136"/>
      <c r="K748" s="66"/>
    </row>
    <row r="749" spans="3:11" x14ac:dyDescent="0.25">
      <c r="C749" s="66"/>
      <c r="E749" s="132"/>
      <c r="F749" s="132"/>
      <c r="G749" s="133"/>
      <c r="H749" s="40"/>
      <c r="I749" s="40"/>
      <c r="J749" s="136"/>
      <c r="K749" s="66"/>
    </row>
    <row r="750" spans="3:11" x14ac:dyDescent="0.25">
      <c r="C750" s="66"/>
      <c r="E750" s="132"/>
      <c r="F750" s="132"/>
      <c r="G750" s="133"/>
      <c r="H750" s="40"/>
      <c r="I750" s="40"/>
      <c r="J750" s="136"/>
      <c r="K750" s="66"/>
    </row>
    <row r="751" spans="3:11" x14ac:dyDescent="0.25">
      <c r="C751" s="66"/>
      <c r="E751" s="132"/>
      <c r="F751" s="132"/>
      <c r="G751" s="133"/>
      <c r="H751" s="40"/>
      <c r="I751" s="40"/>
      <c r="J751" s="136"/>
      <c r="K751" s="66"/>
    </row>
    <row r="752" spans="3:11" x14ac:dyDescent="0.25">
      <c r="C752" s="66"/>
      <c r="E752" s="132"/>
      <c r="F752" s="132"/>
      <c r="G752" s="133"/>
      <c r="H752" s="40"/>
      <c r="I752" s="40"/>
      <c r="J752" s="136"/>
      <c r="K752" s="66"/>
    </row>
    <row r="753" spans="3:11" x14ac:dyDescent="0.25">
      <c r="C753" s="66"/>
      <c r="E753" s="132"/>
      <c r="F753" s="132"/>
      <c r="G753" s="133"/>
      <c r="H753" s="40"/>
      <c r="I753" s="40"/>
      <c r="J753" s="136"/>
      <c r="K753" s="66"/>
    </row>
    <row r="754" spans="3:11" x14ac:dyDescent="0.25">
      <c r="C754" s="66"/>
      <c r="E754" s="132"/>
      <c r="F754" s="132"/>
      <c r="G754" s="133"/>
      <c r="H754" s="40"/>
      <c r="I754" s="40"/>
      <c r="J754" s="136"/>
      <c r="K754" s="66"/>
    </row>
    <row r="755" spans="3:11" x14ac:dyDescent="0.25">
      <c r="C755" s="66"/>
      <c r="E755" s="132"/>
      <c r="F755" s="132"/>
      <c r="G755" s="133"/>
      <c r="H755" s="40"/>
      <c r="I755" s="40"/>
      <c r="J755" s="136"/>
      <c r="K755" s="66"/>
    </row>
    <row r="756" spans="3:11" x14ac:dyDescent="0.25">
      <c r="C756" s="66"/>
      <c r="E756" s="132"/>
      <c r="F756" s="132"/>
      <c r="G756" s="133"/>
      <c r="H756" s="40"/>
      <c r="I756" s="40"/>
      <c r="J756" s="136"/>
      <c r="K756" s="66"/>
    </row>
    <row r="757" spans="3:11" x14ac:dyDescent="0.25">
      <c r="C757" s="66"/>
      <c r="E757" s="132"/>
      <c r="F757" s="132"/>
      <c r="G757" s="133"/>
      <c r="H757" s="40"/>
      <c r="I757" s="40"/>
      <c r="J757" s="136"/>
      <c r="K757" s="66"/>
    </row>
    <row r="758" spans="3:11" x14ac:dyDescent="0.25">
      <c r="C758" s="66"/>
      <c r="E758" s="132"/>
      <c r="F758" s="132"/>
      <c r="G758" s="133"/>
      <c r="H758" s="40"/>
      <c r="I758" s="40"/>
      <c r="J758" s="136"/>
      <c r="K758" s="66"/>
    </row>
    <row r="759" spans="3:11" x14ac:dyDescent="0.25">
      <c r="C759" s="66"/>
      <c r="E759" s="132"/>
      <c r="F759" s="132"/>
      <c r="G759" s="133"/>
      <c r="H759" s="40"/>
      <c r="I759" s="40"/>
      <c r="J759" s="136"/>
      <c r="K759" s="66"/>
    </row>
    <row r="760" spans="3:11" x14ac:dyDescent="0.25">
      <c r="C760" s="66"/>
      <c r="E760" s="132"/>
      <c r="F760" s="132"/>
      <c r="G760" s="133"/>
      <c r="H760" s="40"/>
      <c r="I760" s="40"/>
      <c r="J760" s="136"/>
      <c r="K760" s="66"/>
    </row>
    <row r="761" spans="3:11" x14ac:dyDescent="0.25">
      <c r="C761" s="66"/>
      <c r="E761" s="132"/>
      <c r="F761" s="132"/>
      <c r="G761" s="133"/>
      <c r="H761" s="40"/>
      <c r="I761" s="40"/>
      <c r="J761" s="136"/>
      <c r="K761" s="66"/>
    </row>
    <row r="762" spans="3:11" x14ac:dyDescent="0.25">
      <c r="C762" s="66"/>
      <c r="E762" s="132"/>
      <c r="F762" s="132"/>
      <c r="G762" s="133"/>
      <c r="H762" s="40"/>
      <c r="I762" s="40"/>
      <c r="J762" s="136"/>
      <c r="K762" s="66"/>
    </row>
    <row r="763" spans="3:11" x14ac:dyDescent="0.25">
      <c r="C763" s="66"/>
      <c r="E763" s="132"/>
      <c r="F763" s="132"/>
      <c r="G763" s="133"/>
      <c r="H763" s="40"/>
      <c r="I763" s="40"/>
      <c r="J763" s="136"/>
      <c r="K763" s="66"/>
    </row>
    <row r="764" spans="3:11" x14ac:dyDescent="0.25">
      <c r="C764" s="66"/>
      <c r="E764" s="132"/>
      <c r="F764" s="132"/>
      <c r="G764" s="133"/>
      <c r="H764" s="40"/>
      <c r="I764" s="40"/>
      <c r="J764" s="136"/>
      <c r="K764" s="66"/>
    </row>
    <row r="765" spans="3:11" x14ac:dyDescent="0.25">
      <c r="C765" s="66"/>
      <c r="E765" s="132"/>
      <c r="F765" s="132"/>
      <c r="G765" s="133"/>
      <c r="H765" s="40"/>
      <c r="I765" s="40"/>
      <c r="J765" s="136"/>
      <c r="K765" s="66"/>
    </row>
    <row r="766" spans="3:11" x14ac:dyDescent="0.25">
      <c r="C766" s="66"/>
      <c r="E766" s="132"/>
      <c r="F766" s="132"/>
      <c r="G766" s="133"/>
      <c r="H766" s="40"/>
      <c r="I766" s="40"/>
      <c r="J766" s="136"/>
      <c r="K766" s="66"/>
    </row>
    <row r="767" spans="3:11" x14ac:dyDescent="0.25">
      <c r="C767" s="66"/>
      <c r="E767" s="132"/>
      <c r="F767" s="132"/>
      <c r="G767" s="133"/>
      <c r="H767" s="40"/>
      <c r="I767" s="40"/>
      <c r="J767" s="136"/>
      <c r="K767" s="66"/>
    </row>
    <row r="768" spans="3:11" x14ac:dyDescent="0.25">
      <c r="C768" s="66"/>
      <c r="E768" s="132"/>
      <c r="F768" s="132"/>
      <c r="G768" s="133"/>
      <c r="H768" s="40"/>
      <c r="I768" s="40"/>
      <c r="J768" s="136"/>
      <c r="K768" s="66"/>
    </row>
    <row r="769" spans="3:11" x14ac:dyDescent="0.25">
      <c r="C769" s="66"/>
      <c r="E769" s="132"/>
      <c r="F769" s="132"/>
      <c r="G769" s="133"/>
      <c r="H769" s="40"/>
      <c r="I769" s="40"/>
      <c r="J769" s="136"/>
      <c r="K769" s="66"/>
    </row>
    <row r="770" spans="3:11" x14ac:dyDescent="0.25">
      <c r="C770" s="66"/>
      <c r="E770" s="132"/>
      <c r="F770" s="132"/>
      <c r="G770" s="133"/>
      <c r="H770" s="40"/>
      <c r="I770" s="40"/>
      <c r="J770" s="136"/>
      <c r="K770" s="66"/>
    </row>
    <row r="771" spans="3:11" x14ac:dyDescent="0.25">
      <c r="C771" s="66"/>
      <c r="E771" s="132"/>
      <c r="F771" s="132"/>
      <c r="G771" s="133"/>
      <c r="H771" s="40"/>
      <c r="I771" s="40"/>
      <c r="J771" s="136"/>
      <c r="K771" s="66"/>
    </row>
    <row r="772" spans="3:11" x14ac:dyDescent="0.25">
      <c r="C772" s="66"/>
      <c r="E772" s="132"/>
      <c r="F772" s="132"/>
      <c r="G772" s="133"/>
      <c r="H772" s="40"/>
      <c r="I772" s="40"/>
      <c r="J772" s="136"/>
      <c r="K772" s="66"/>
    </row>
    <row r="773" spans="3:11" x14ac:dyDescent="0.25">
      <c r="C773" s="66"/>
      <c r="E773" s="132"/>
      <c r="F773" s="132"/>
      <c r="G773" s="133"/>
      <c r="H773" s="40"/>
      <c r="I773" s="40"/>
      <c r="J773" s="136"/>
      <c r="K773" s="66"/>
    </row>
    <row r="774" spans="3:11" x14ac:dyDescent="0.25">
      <c r="C774" s="66"/>
      <c r="E774" s="132"/>
      <c r="F774" s="132"/>
      <c r="G774" s="133"/>
      <c r="H774" s="40"/>
      <c r="I774" s="40"/>
      <c r="J774" s="136"/>
      <c r="K774" s="66"/>
    </row>
    <row r="775" spans="3:11" x14ac:dyDescent="0.25">
      <c r="C775" s="66"/>
      <c r="E775" s="132"/>
      <c r="F775" s="132"/>
      <c r="G775" s="133"/>
      <c r="H775" s="40"/>
      <c r="I775" s="40"/>
      <c r="J775" s="136"/>
      <c r="K775" s="66"/>
    </row>
    <row r="776" spans="3:11" x14ac:dyDescent="0.25">
      <c r="C776" s="66"/>
      <c r="E776" s="132"/>
      <c r="F776" s="132"/>
      <c r="G776" s="133"/>
      <c r="H776" s="40"/>
      <c r="I776" s="40"/>
      <c r="J776" s="136"/>
      <c r="K776" s="66"/>
    </row>
    <row r="777" spans="3:11" x14ac:dyDescent="0.25">
      <c r="C777" s="66"/>
      <c r="E777" s="132"/>
      <c r="F777" s="132"/>
      <c r="G777" s="133"/>
      <c r="H777" s="40"/>
      <c r="I777" s="40"/>
      <c r="J777" s="136"/>
      <c r="K777" s="66"/>
    </row>
    <row r="778" spans="3:11" x14ac:dyDescent="0.25">
      <c r="C778" s="66"/>
      <c r="E778" s="132"/>
      <c r="F778" s="132"/>
      <c r="G778" s="133"/>
      <c r="H778" s="40"/>
      <c r="I778" s="40"/>
      <c r="J778" s="136"/>
      <c r="K778" s="66"/>
    </row>
    <row r="779" spans="3:11" x14ac:dyDescent="0.25">
      <c r="C779" s="66"/>
      <c r="E779" s="132"/>
      <c r="F779" s="132"/>
      <c r="G779" s="133"/>
      <c r="H779" s="40"/>
      <c r="I779" s="40"/>
      <c r="J779" s="136"/>
      <c r="K779" s="66"/>
    </row>
    <row r="780" spans="3:11" x14ac:dyDescent="0.25">
      <c r="C780" s="66"/>
      <c r="E780" s="132"/>
      <c r="F780" s="132"/>
      <c r="G780" s="133"/>
      <c r="H780" s="40"/>
      <c r="I780" s="40"/>
      <c r="J780" s="136"/>
      <c r="K780" s="66"/>
    </row>
    <row r="781" spans="3:11" x14ac:dyDescent="0.25">
      <c r="C781" s="66"/>
      <c r="E781" s="132"/>
      <c r="F781" s="132"/>
      <c r="G781" s="133"/>
      <c r="H781" s="40"/>
      <c r="I781" s="40"/>
      <c r="J781" s="136"/>
      <c r="K781" s="66"/>
    </row>
    <row r="782" spans="3:11" x14ac:dyDescent="0.25">
      <c r="C782" s="66"/>
      <c r="E782" s="132"/>
      <c r="F782" s="132"/>
      <c r="G782" s="133"/>
      <c r="H782" s="40"/>
      <c r="I782" s="40"/>
      <c r="J782" s="136"/>
      <c r="K782" s="66"/>
    </row>
    <row r="783" spans="3:11" x14ac:dyDescent="0.25">
      <c r="C783" s="66"/>
      <c r="E783" s="132"/>
      <c r="F783" s="132"/>
      <c r="G783" s="133"/>
      <c r="H783" s="40"/>
      <c r="I783" s="40"/>
      <c r="J783" s="136"/>
      <c r="K783" s="66"/>
    </row>
    <row r="784" spans="3:11" x14ac:dyDescent="0.25">
      <c r="C784" s="66"/>
      <c r="E784" s="132"/>
      <c r="F784" s="132"/>
      <c r="G784" s="133"/>
      <c r="H784" s="40"/>
      <c r="I784" s="40"/>
      <c r="J784" s="136"/>
      <c r="K784" s="66"/>
    </row>
    <row r="785" spans="3:11" x14ac:dyDescent="0.25">
      <c r="C785" s="66"/>
      <c r="E785" s="132"/>
      <c r="F785" s="132"/>
      <c r="G785" s="133"/>
      <c r="H785" s="40"/>
      <c r="I785" s="40"/>
      <c r="J785" s="136"/>
      <c r="K785" s="66"/>
    </row>
    <row r="786" spans="3:11" x14ac:dyDescent="0.25">
      <c r="C786" s="66"/>
      <c r="E786" s="132"/>
      <c r="F786" s="132"/>
      <c r="G786" s="133"/>
      <c r="H786" s="40"/>
      <c r="I786" s="40"/>
      <c r="J786" s="136"/>
      <c r="K786" s="66"/>
    </row>
    <row r="787" spans="3:11" x14ac:dyDescent="0.25">
      <c r="C787" s="66"/>
      <c r="E787" s="132"/>
      <c r="F787" s="132"/>
      <c r="G787" s="133"/>
      <c r="H787" s="40"/>
      <c r="I787" s="40"/>
      <c r="J787" s="136"/>
      <c r="K787" s="66"/>
    </row>
    <row r="788" spans="3:11" x14ac:dyDescent="0.25">
      <c r="C788" s="66"/>
      <c r="E788" s="132"/>
      <c r="F788" s="132"/>
      <c r="G788" s="133"/>
      <c r="H788" s="40"/>
      <c r="I788" s="40"/>
      <c r="J788" s="136"/>
      <c r="K788" s="66"/>
    </row>
    <row r="789" spans="3:11" x14ac:dyDescent="0.25">
      <c r="C789" s="66"/>
      <c r="E789" s="132"/>
      <c r="F789" s="132"/>
      <c r="G789" s="133"/>
      <c r="H789" s="40"/>
      <c r="I789" s="40"/>
      <c r="J789" s="136"/>
      <c r="K789" s="66"/>
    </row>
    <row r="790" spans="3:11" x14ac:dyDescent="0.25">
      <c r="C790" s="66"/>
      <c r="E790" s="132"/>
      <c r="F790" s="132"/>
      <c r="G790" s="133"/>
      <c r="H790" s="40"/>
      <c r="I790" s="40"/>
      <c r="J790" s="136"/>
      <c r="K790" s="66"/>
    </row>
    <row r="791" spans="3:11" x14ac:dyDescent="0.25">
      <c r="C791" s="66"/>
      <c r="E791" s="132"/>
      <c r="F791" s="132"/>
      <c r="G791" s="133"/>
      <c r="H791" s="40"/>
      <c r="I791" s="40"/>
      <c r="J791" s="136"/>
      <c r="K791" s="66"/>
    </row>
    <row r="792" spans="3:11" x14ac:dyDescent="0.25">
      <c r="C792" s="66"/>
      <c r="E792" s="132"/>
      <c r="F792" s="132"/>
      <c r="G792" s="133"/>
      <c r="H792" s="40"/>
      <c r="I792" s="40"/>
      <c r="J792" s="136"/>
      <c r="K792" s="66"/>
    </row>
    <row r="793" spans="3:11" x14ac:dyDescent="0.25">
      <c r="C793" s="66"/>
      <c r="E793" s="132"/>
      <c r="F793" s="132"/>
      <c r="G793" s="133"/>
      <c r="H793" s="40"/>
      <c r="I793" s="40"/>
      <c r="J793" s="136"/>
      <c r="K793" s="66"/>
    </row>
    <row r="794" spans="3:11" x14ac:dyDescent="0.25">
      <c r="C794" s="66"/>
      <c r="E794" s="132"/>
      <c r="F794" s="132"/>
      <c r="G794" s="133"/>
      <c r="H794" s="40"/>
      <c r="I794" s="40"/>
      <c r="J794" s="136"/>
      <c r="K794" s="66"/>
    </row>
    <row r="795" spans="3:11" x14ac:dyDescent="0.25">
      <c r="C795" s="66"/>
      <c r="E795" s="132"/>
      <c r="F795" s="132"/>
      <c r="G795" s="133"/>
      <c r="H795" s="40"/>
      <c r="I795" s="40"/>
      <c r="J795" s="136"/>
      <c r="K795" s="66"/>
    </row>
    <row r="796" spans="3:11" x14ac:dyDescent="0.25">
      <c r="C796" s="66"/>
      <c r="E796" s="132"/>
      <c r="F796" s="132"/>
      <c r="G796" s="133"/>
      <c r="H796" s="40"/>
      <c r="I796" s="40"/>
      <c r="J796" s="136"/>
      <c r="K796" s="66"/>
    </row>
    <row r="797" spans="3:11" x14ac:dyDescent="0.25">
      <c r="C797" s="66"/>
      <c r="E797" s="132"/>
      <c r="F797" s="132"/>
      <c r="G797" s="133"/>
      <c r="H797" s="40"/>
      <c r="I797" s="40"/>
      <c r="J797" s="136"/>
      <c r="K797" s="66"/>
    </row>
    <row r="798" spans="3:11" x14ac:dyDescent="0.25">
      <c r="C798" s="66"/>
      <c r="E798" s="132"/>
      <c r="F798" s="132"/>
      <c r="G798" s="133"/>
      <c r="H798" s="40"/>
      <c r="I798" s="40"/>
      <c r="J798" s="136"/>
      <c r="K798" s="66"/>
    </row>
    <row r="799" spans="3:11" x14ac:dyDescent="0.25">
      <c r="C799" s="66"/>
      <c r="E799" s="132"/>
      <c r="F799" s="132"/>
      <c r="G799" s="133"/>
      <c r="H799" s="40"/>
      <c r="I799" s="40"/>
      <c r="J799" s="136"/>
      <c r="K799" s="66"/>
    </row>
    <row r="800" spans="3:11" x14ac:dyDescent="0.25">
      <c r="C800" s="66"/>
      <c r="E800" s="132"/>
      <c r="F800" s="132"/>
      <c r="G800" s="133"/>
      <c r="H800" s="40"/>
      <c r="I800" s="40"/>
      <c r="J800" s="136"/>
      <c r="K800" s="66"/>
    </row>
    <row r="801" spans="3:11" x14ac:dyDescent="0.25">
      <c r="C801" s="66"/>
      <c r="E801" s="132"/>
      <c r="F801" s="132"/>
      <c r="G801" s="133"/>
      <c r="H801" s="40"/>
      <c r="I801" s="40"/>
      <c r="J801" s="136"/>
      <c r="K801" s="66"/>
    </row>
    <row r="802" spans="3:11" x14ac:dyDescent="0.25">
      <c r="C802" s="66"/>
      <c r="E802" s="132"/>
      <c r="F802" s="132"/>
      <c r="G802" s="133"/>
      <c r="H802" s="40"/>
      <c r="I802" s="40"/>
      <c r="J802" s="136"/>
      <c r="K802" s="66"/>
    </row>
    <row r="803" spans="3:11" x14ac:dyDescent="0.25">
      <c r="C803" s="66"/>
      <c r="E803" s="132"/>
      <c r="F803" s="132"/>
      <c r="G803" s="133"/>
      <c r="H803" s="40"/>
      <c r="I803" s="40"/>
      <c r="J803" s="136"/>
      <c r="K803" s="66"/>
    </row>
    <row r="804" spans="3:11" x14ac:dyDescent="0.25">
      <c r="C804" s="66"/>
      <c r="E804" s="132"/>
      <c r="F804" s="132"/>
      <c r="G804" s="133"/>
      <c r="H804" s="40"/>
      <c r="I804" s="40"/>
      <c r="J804" s="136"/>
      <c r="K804" s="66"/>
    </row>
    <row r="805" spans="3:11" x14ac:dyDescent="0.25">
      <c r="C805" s="66"/>
      <c r="E805" s="132"/>
      <c r="F805" s="132"/>
      <c r="G805" s="133"/>
      <c r="H805" s="40"/>
      <c r="I805" s="40"/>
      <c r="J805" s="136"/>
      <c r="K805" s="66"/>
    </row>
    <row r="806" spans="3:11" x14ac:dyDescent="0.25">
      <c r="C806" s="66"/>
      <c r="E806" s="132"/>
      <c r="F806" s="132"/>
      <c r="G806" s="133"/>
      <c r="H806" s="40"/>
      <c r="I806" s="40"/>
      <c r="J806" s="136"/>
      <c r="K806" s="66"/>
    </row>
    <row r="807" spans="3:11" x14ac:dyDescent="0.25">
      <c r="C807" s="66"/>
      <c r="E807" s="132"/>
      <c r="F807" s="132"/>
      <c r="G807" s="133"/>
      <c r="H807" s="40"/>
      <c r="I807" s="40"/>
      <c r="J807" s="136"/>
      <c r="K807" s="66"/>
    </row>
    <row r="808" spans="3:11" x14ac:dyDescent="0.25">
      <c r="C808" s="66"/>
      <c r="E808" s="132"/>
      <c r="F808" s="132"/>
      <c r="G808" s="133"/>
      <c r="H808" s="40"/>
      <c r="I808" s="40"/>
      <c r="J808" s="136"/>
      <c r="K808" s="66"/>
    </row>
    <row r="809" spans="3:11" x14ac:dyDescent="0.25">
      <c r="C809" s="66"/>
      <c r="E809" s="132"/>
      <c r="F809" s="132"/>
      <c r="G809" s="133"/>
      <c r="H809" s="40"/>
      <c r="I809" s="40"/>
      <c r="J809" s="136"/>
      <c r="K809" s="66"/>
    </row>
    <row r="810" spans="3:11" x14ac:dyDescent="0.25">
      <c r="C810" s="66"/>
      <c r="E810" s="132"/>
      <c r="F810" s="132"/>
      <c r="G810" s="133"/>
      <c r="H810" s="40"/>
      <c r="I810" s="40"/>
      <c r="J810" s="136"/>
      <c r="K810" s="66"/>
    </row>
    <row r="811" spans="3:11" x14ac:dyDescent="0.25">
      <c r="C811" s="66"/>
      <c r="E811" s="132"/>
      <c r="F811" s="132"/>
      <c r="G811" s="133"/>
      <c r="H811" s="40"/>
      <c r="I811" s="40"/>
      <c r="J811" s="136"/>
      <c r="K811" s="66"/>
    </row>
    <row r="812" spans="3:11" x14ac:dyDescent="0.25">
      <c r="C812" s="66"/>
      <c r="E812" s="132"/>
      <c r="F812" s="132"/>
      <c r="G812" s="133"/>
      <c r="H812" s="40"/>
      <c r="I812" s="40"/>
      <c r="J812" s="136"/>
      <c r="K812" s="66"/>
    </row>
    <row r="813" spans="3:11" x14ac:dyDescent="0.25">
      <c r="C813" s="66"/>
      <c r="E813" s="132"/>
      <c r="F813" s="132"/>
      <c r="G813" s="133"/>
      <c r="H813" s="40"/>
      <c r="I813" s="40"/>
      <c r="J813" s="136"/>
      <c r="K813" s="66"/>
    </row>
    <row r="814" spans="3:11" x14ac:dyDescent="0.25">
      <c r="C814" s="66"/>
      <c r="E814" s="132"/>
      <c r="F814" s="132"/>
      <c r="G814" s="133"/>
      <c r="H814" s="40"/>
      <c r="I814" s="40"/>
      <c r="J814" s="136"/>
      <c r="K814" s="66"/>
    </row>
    <row r="815" spans="3:11" x14ac:dyDescent="0.25">
      <c r="C815" s="66"/>
      <c r="E815" s="132"/>
      <c r="F815" s="132"/>
      <c r="G815" s="133"/>
      <c r="H815" s="40"/>
      <c r="I815" s="40"/>
      <c r="J815" s="136"/>
      <c r="K815" s="66"/>
    </row>
    <row r="816" spans="3:11" x14ac:dyDescent="0.25">
      <c r="C816" s="66"/>
      <c r="E816" s="132"/>
      <c r="F816" s="132"/>
      <c r="G816" s="133"/>
      <c r="H816" s="40"/>
      <c r="I816" s="40"/>
      <c r="J816" s="136"/>
      <c r="K816" s="66"/>
    </row>
    <row r="817" spans="3:11" x14ac:dyDescent="0.25">
      <c r="C817" s="66"/>
      <c r="E817" s="132"/>
      <c r="F817" s="132"/>
      <c r="G817" s="133"/>
      <c r="H817" s="40"/>
      <c r="I817" s="40"/>
      <c r="J817" s="136"/>
      <c r="K817" s="66"/>
    </row>
    <row r="818" spans="3:11" x14ac:dyDescent="0.25">
      <c r="C818" s="66"/>
      <c r="E818" s="132"/>
      <c r="F818" s="132"/>
      <c r="G818" s="133"/>
      <c r="H818" s="40"/>
      <c r="I818" s="40"/>
      <c r="J818" s="136"/>
      <c r="K818" s="66"/>
    </row>
    <row r="819" spans="3:11" x14ac:dyDescent="0.25">
      <c r="C819" s="66"/>
      <c r="E819" s="132"/>
      <c r="F819" s="132"/>
      <c r="G819" s="133"/>
      <c r="H819" s="40"/>
      <c r="I819" s="40"/>
      <c r="J819" s="136"/>
      <c r="K819" s="66"/>
    </row>
    <row r="820" spans="3:11" x14ac:dyDescent="0.25">
      <c r="C820" s="66"/>
      <c r="E820" s="132"/>
      <c r="F820" s="132"/>
      <c r="G820" s="133"/>
      <c r="H820" s="40"/>
      <c r="I820" s="40"/>
      <c r="J820" s="136"/>
      <c r="K820" s="66"/>
    </row>
    <row r="821" spans="3:11" x14ac:dyDescent="0.25">
      <c r="C821" s="66"/>
      <c r="E821" s="132"/>
      <c r="F821" s="132"/>
      <c r="G821" s="133"/>
      <c r="H821" s="40"/>
      <c r="I821" s="40"/>
      <c r="J821" s="136"/>
      <c r="K821" s="66"/>
    </row>
    <row r="822" spans="3:11" x14ac:dyDescent="0.25">
      <c r="C822" s="66"/>
      <c r="E822" s="132"/>
      <c r="F822" s="132"/>
      <c r="G822" s="133"/>
      <c r="H822" s="40"/>
      <c r="I822" s="40"/>
      <c r="J822" s="136"/>
      <c r="K822" s="66"/>
    </row>
    <row r="823" spans="3:11" x14ac:dyDescent="0.25">
      <c r="C823" s="66"/>
      <c r="E823" s="132"/>
      <c r="F823" s="132"/>
      <c r="G823" s="133"/>
      <c r="H823" s="40"/>
      <c r="I823" s="40"/>
      <c r="J823" s="136"/>
      <c r="K823" s="66"/>
    </row>
    <row r="824" spans="3:11" x14ac:dyDescent="0.25">
      <c r="C824" s="66"/>
      <c r="E824" s="132"/>
      <c r="F824" s="132"/>
      <c r="G824" s="133"/>
      <c r="H824" s="40"/>
      <c r="I824" s="40"/>
      <c r="J824" s="136"/>
      <c r="K824" s="66"/>
    </row>
    <row r="825" spans="3:11" x14ac:dyDescent="0.25">
      <c r="C825" s="66"/>
      <c r="E825" s="132"/>
      <c r="F825" s="132"/>
      <c r="G825" s="133"/>
      <c r="H825" s="40"/>
      <c r="I825" s="40"/>
      <c r="J825" s="136"/>
      <c r="K825" s="66"/>
    </row>
    <row r="826" spans="3:11" x14ac:dyDescent="0.25">
      <c r="C826" s="66"/>
      <c r="E826" s="132"/>
      <c r="F826" s="132"/>
      <c r="G826" s="133"/>
      <c r="H826" s="40"/>
      <c r="I826" s="40"/>
      <c r="J826" s="136"/>
      <c r="K826" s="66"/>
    </row>
    <row r="827" spans="3:11" x14ac:dyDescent="0.25">
      <c r="C827" s="66"/>
      <c r="E827" s="132"/>
      <c r="F827" s="132"/>
      <c r="G827" s="133"/>
      <c r="H827" s="40"/>
      <c r="I827" s="40"/>
      <c r="J827" s="136"/>
      <c r="K827" s="66"/>
    </row>
    <row r="828" spans="3:11" x14ac:dyDescent="0.25">
      <c r="C828" s="66"/>
      <c r="E828" s="132"/>
      <c r="F828" s="132"/>
      <c r="G828" s="133"/>
      <c r="H828" s="40"/>
      <c r="I828" s="40"/>
      <c r="J828" s="136"/>
      <c r="K828" s="66"/>
    </row>
    <row r="829" spans="3:11" x14ac:dyDescent="0.25">
      <c r="C829" s="66"/>
      <c r="E829" s="132"/>
      <c r="F829" s="132"/>
      <c r="G829" s="133"/>
      <c r="H829" s="40"/>
      <c r="I829" s="40"/>
      <c r="J829" s="136"/>
      <c r="K829" s="66"/>
    </row>
    <row r="830" spans="3:11" x14ac:dyDescent="0.25">
      <c r="C830" s="66"/>
      <c r="E830" s="132"/>
      <c r="F830" s="132"/>
      <c r="G830" s="133"/>
      <c r="H830" s="40"/>
      <c r="I830" s="40"/>
      <c r="J830" s="136"/>
      <c r="K830" s="66"/>
    </row>
    <row r="831" spans="3:11" x14ac:dyDescent="0.25">
      <c r="C831" s="66"/>
      <c r="E831" s="132"/>
      <c r="F831" s="132"/>
      <c r="G831" s="133"/>
      <c r="H831" s="40"/>
      <c r="I831" s="40"/>
      <c r="J831" s="136"/>
      <c r="K831" s="66"/>
    </row>
    <row r="832" spans="3:11" x14ac:dyDescent="0.25">
      <c r="C832" s="66"/>
      <c r="E832" s="132"/>
      <c r="F832" s="132"/>
      <c r="G832" s="133"/>
      <c r="H832" s="40"/>
      <c r="I832" s="40"/>
      <c r="J832" s="136"/>
      <c r="K832" s="66"/>
    </row>
    <row r="833" spans="3:11" x14ac:dyDescent="0.25">
      <c r="C833" s="66"/>
      <c r="E833" s="132"/>
      <c r="F833" s="132"/>
      <c r="G833" s="133"/>
      <c r="H833" s="40"/>
      <c r="I833" s="40"/>
      <c r="J833" s="136"/>
      <c r="K833" s="66"/>
    </row>
    <row r="834" spans="3:11" x14ac:dyDescent="0.25">
      <c r="C834" s="66"/>
      <c r="E834" s="132"/>
      <c r="F834" s="132"/>
      <c r="G834" s="133"/>
      <c r="H834" s="40"/>
      <c r="I834" s="40"/>
      <c r="J834" s="136"/>
      <c r="K834" s="66"/>
    </row>
    <row r="835" spans="3:11" x14ac:dyDescent="0.25">
      <c r="C835" s="66"/>
      <c r="E835" s="132"/>
      <c r="F835" s="132"/>
      <c r="G835" s="133"/>
      <c r="H835" s="40"/>
      <c r="I835" s="40"/>
      <c r="J835" s="136"/>
      <c r="K835" s="66"/>
    </row>
    <row r="836" spans="3:11" x14ac:dyDescent="0.25">
      <c r="C836" s="66"/>
      <c r="E836" s="132"/>
      <c r="F836" s="132"/>
      <c r="G836" s="133"/>
      <c r="H836" s="40"/>
      <c r="I836" s="40"/>
      <c r="J836" s="136"/>
      <c r="K836" s="66"/>
    </row>
    <row r="837" spans="3:11" x14ac:dyDescent="0.25">
      <c r="C837" s="66"/>
      <c r="E837" s="132"/>
      <c r="F837" s="132"/>
      <c r="G837" s="133"/>
      <c r="H837" s="40"/>
      <c r="I837" s="40"/>
      <c r="J837" s="136"/>
      <c r="K837" s="66"/>
    </row>
    <row r="838" spans="3:11" x14ac:dyDescent="0.25">
      <c r="C838" s="66"/>
      <c r="E838" s="132"/>
      <c r="F838" s="132"/>
      <c r="G838" s="133"/>
      <c r="H838" s="40"/>
      <c r="I838" s="40"/>
      <c r="J838" s="136"/>
      <c r="K838" s="66"/>
    </row>
    <row r="839" spans="3:11" x14ac:dyDescent="0.25">
      <c r="C839" s="66"/>
      <c r="E839" s="132"/>
      <c r="F839" s="132"/>
      <c r="G839" s="133"/>
      <c r="H839" s="40"/>
      <c r="I839" s="40"/>
      <c r="J839" s="136"/>
      <c r="K839" s="66"/>
    </row>
    <row r="840" spans="3:11" x14ac:dyDescent="0.25">
      <c r="C840" s="66"/>
      <c r="E840" s="132"/>
      <c r="F840" s="132"/>
      <c r="G840" s="133"/>
      <c r="H840" s="40"/>
      <c r="I840" s="40"/>
      <c r="J840" s="136"/>
      <c r="K840" s="66"/>
    </row>
    <row r="841" spans="3:11" x14ac:dyDescent="0.25">
      <c r="C841" s="66"/>
      <c r="E841" s="132"/>
      <c r="F841" s="132"/>
      <c r="G841" s="133"/>
      <c r="H841" s="40"/>
      <c r="I841" s="40"/>
      <c r="J841" s="136"/>
      <c r="K841" s="66"/>
    </row>
    <row r="842" spans="3:11" x14ac:dyDescent="0.25">
      <c r="C842" s="66"/>
      <c r="E842" s="132"/>
      <c r="F842" s="132"/>
      <c r="G842" s="133"/>
      <c r="H842" s="40"/>
      <c r="I842" s="40"/>
      <c r="J842" s="136"/>
      <c r="K842" s="66"/>
    </row>
    <row r="843" spans="3:11" x14ac:dyDescent="0.25">
      <c r="C843" s="66"/>
      <c r="E843" s="132"/>
      <c r="F843" s="132"/>
      <c r="G843" s="133"/>
      <c r="H843" s="40"/>
      <c r="I843" s="40"/>
      <c r="J843" s="136"/>
      <c r="K843" s="66"/>
    </row>
    <row r="844" spans="3:11" x14ac:dyDescent="0.25">
      <c r="C844" s="66"/>
      <c r="E844" s="132"/>
      <c r="F844" s="132"/>
      <c r="G844" s="133"/>
      <c r="H844" s="40"/>
      <c r="I844" s="40"/>
      <c r="J844" s="136"/>
      <c r="K844" s="66"/>
    </row>
    <row r="845" spans="3:11" x14ac:dyDescent="0.25">
      <c r="C845" s="66"/>
      <c r="E845" s="132"/>
      <c r="F845" s="132"/>
      <c r="G845" s="133"/>
      <c r="H845" s="40"/>
      <c r="I845" s="40"/>
      <c r="J845" s="136"/>
      <c r="K845" s="66"/>
    </row>
    <row r="846" spans="3:11" x14ac:dyDescent="0.25">
      <c r="C846" s="66"/>
      <c r="E846" s="132"/>
      <c r="F846" s="132"/>
      <c r="G846" s="133"/>
      <c r="H846" s="40"/>
      <c r="I846" s="40"/>
      <c r="J846" s="136"/>
      <c r="K846" s="66"/>
    </row>
    <row r="847" spans="3:11" x14ac:dyDescent="0.25">
      <c r="C847" s="66"/>
      <c r="E847" s="132"/>
      <c r="F847" s="132"/>
      <c r="G847" s="133"/>
      <c r="H847" s="40"/>
      <c r="I847" s="40"/>
      <c r="J847" s="136"/>
      <c r="K847" s="66"/>
    </row>
    <row r="848" spans="3:11" x14ac:dyDescent="0.25">
      <c r="C848" s="66"/>
      <c r="E848" s="132"/>
      <c r="F848" s="132"/>
      <c r="G848" s="133"/>
      <c r="H848" s="40"/>
      <c r="I848" s="40"/>
      <c r="J848" s="136"/>
      <c r="K848" s="66"/>
    </row>
    <row r="849" spans="3:11" x14ac:dyDescent="0.25">
      <c r="C849" s="66"/>
      <c r="E849" s="132"/>
      <c r="F849" s="132"/>
      <c r="G849" s="133"/>
      <c r="H849" s="40"/>
      <c r="I849" s="40"/>
      <c r="J849" s="136"/>
      <c r="K849" s="66"/>
    </row>
    <row r="850" spans="3:11" x14ac:dyDescent="0.25">
      <c r="C850" s="66"/>
      <c r="E850" s="132"/>
      <c r="F850" s="132"/>
      <c r="G850" s="133"/>
      <c r="H850" s="40"/>
      <c r="I850" s="40"/>
      <c r="J850" s="136"/>
      <c r="K850" s="66"/>
    </row>
    <row r="851" spans="3:11" x14ac:dyDescent="0.25">
      <c r="C851" s="66"/>
      <c r="E851" s="132"/>
      <c r="F851" s="132"/>
      <c r="G851" s="133"/>
      <c r="H851" s="40"/>
      <c r="I851" s="40"/>
      <c r="J851" s="136"/>
      <c r="K851" s="66"/>
    </row>
    <row r="852" spans="3:11" x14ac:dyDescent="0.25">
      <c r="C852" s="66"/>
      <c r="E852" s="132"/>
      <c r="F852" s="132"/>
      <c r="G852" s="133"/>
      <c r="H852" s="40"/>
      <c r="I852" s="40"/>
      <c r="J852" s="136"/>
      <c r="K852" s="66"/>
    </row>
    <row r="853" spans="3:11" x14ac:dyDescent="0.25">
      <c r="C853" s="66"/>
      <c r="E853" s="132"/>
      <c r="F853" s="132"/>
      <c r="G853" s="133"/>
      <c r="H853" s="40"/>
      <c r="I853" s="40"/>
      <c r="J853" s="136"/>
      <c r="K853" s="66"/>
    </row>
    <row r="854" spans="3:11" x14ac:dyDescent="0.25">
      <c r="C854" s="66"/>
      <c r="E854" s="132"/>
      <c r="F854" s="132"/>
      <c r="G854" s="133"/>
      <c r="H854" s="40"/>
      <c r="I854" s="40"/>
      <c r="J854" s="136"/>
      <c r="K854" s="66"/>
    </row>
    <row r="855" spans="3:11" x14ac:dyDescent="0.25">
      <c r="C855" s="66"/>
      <c r="E855" s="132"/>
      <c r="F855" s="132"/>
      <c r="G855" s="133"/>
      <c r="H855" s="40"/>
      <c r="I855" s="40"/>
      <c r="J855" s="136"/>
      <c r="K855" s="66"/>
    </row>
    <row r="856" spans="3:11" x14ac:dyDescent="0.25">
      <c r="C856" s="66"/>
      <c r="E856" s="132"/>
      <c r="F856" s="132"/>
      <c r="G856" s="133"/>
      <c r="H856" s="40"/>
      <c r="I856" s="40"/>
      <c r="J856" s="136"/>
      <c r="K856" s="66"/>
    </row>
    <row r="857" spans="3:11" x14ac:dyDescent="0.25">
      <c r="C857" s="66"/>
      <c r="E857" s="132"/>
      <c r="F857" s="132"/>
      <c r="G857" s="133"/>
      <c r="H857" s="40"/>
      <c r="I857" s="40"/>
      <c r="J857" s="136"/>
      <c r="K857" s="66"/>
    </row>
    <row r="858" spans="3:11" x14ac:dyDescent="0.25">
      <c r="C858" s="66"/>
      <c r="E858" s="132"/>
      <c r="F858" s="132"/>
      <c r="G858" s="133"/>
      <c r="H858" s="40"/>
      <c r="I858" s="40"/>
      <c r="J858" s="136"/>
      <c r="K858" s="66"/>
    </row>
    <row r="859" spans="3:11" x14ac:dyDescent="0.25">
      <c r="C859" s="66"/>
      <c r="E859" s="132"/>
      <c r="F859" s="132"/>
      <c r="G859" s="133"/>
      <c r="H859" s="40"/>
      <c r="I859" s="40"/>
      <c r="J859" s="136"/>
      <c r="K859" s="66"/>
    </row>
    <row r="860" spans="3:11" x14ac:dyDescent="0.25">
      <c r="C860" s="66"/>
      <c r="E860" s="132"/>
      <c r="F860" s="132"/>
      <c r="G860" s="133"/>
      <c r="H860" s="40"/>
      <c r="I860" s="40"/>
      <c r="J860" s="136"/>
      <c r="K860" s="66"/>
    </row>
    <row r="861" spans="3:11" x14ac:dyDescent="0.25">
      <c r="C861" s="66"/>
      <c r="E861" s="132"/>
      <c r="F861" s="132"/>
      <c r="G861" s="133"/>
      <c r="H861" s="40"/>
      <c r="I861" s="40"/>
      <c r="J861" s="136"/>
      <c r="K861" s="66"/>
    </row>
    <row r="862" spans="3:11" x14ac:dyDescent="0.25">
      <c r="C862" s="66"/>
      <c r="E862" s="132"/>
      <c r="F862" s="132"/>
      <c r="G862" s="133"/>
      <c r="H862" s="40"/>
      <c r="I862" s="40"/>
      <c r="J862" s="136"/>
      <c r="K862" s="66"/>
    </row>
    <row r="863" spans="3:11" x14ac:dyDescent="0.25">
      <c r="C863" s="66"/>
      <c r="E863" s="132"/>
      <c r="F863" s="132"/>
      <c r="G863" s="133"/>
      <c r="H863" s="40"/>
      <c r="I863" s="40"/>
      <c r="J863" s="136"/>
      <c r="K863" s="66"/>
    </row>
    <row r="864" spans="3:11" x14ac:dyDescent="0.25">
      <c r="C864" s="66"/>
      <c r="E864" s="132"/>
      <c r="F864" s="132"/>
      <c r="G864" s="133"/>
      <c r="H864" s="40"/>
      <c r="I864" s="40"/>
      <c r="J864" s="136"/>
      <c r="K864" s="66"/>
    </row>
    <row r="865" spans="3:11" x14ac:dyDescent="0.25">
      <c r="C865" s="66"/>
      <c r="E865" s="132"/>
      <c r="F865" s="132"/>
      <c r="G865" s="133"/>
      <c r="H865" s="40"/>
      <c r="I865" s="40"/>
      <c r="J865" s="136"/>
      <c r="K865" s="66"/>
    </row>
    <row r="866" spans="3:11" x14ac:dyDescent="0.25">
      <c r="C866" s="66"/>
      <c r="E866" s="132"/>
      <c r="F866" s="132"/>
      <c r="G866" s="133"/>
      <c r="H866" s="40"/>
      <c r="I866" s="40"/>
      <c r="J866" s="136"/>
      <c r="K866" s="66"/>
    </row>
    <row r="867" spans="3:11" x14ac:dyDescent="0.25">
      <c r="C867" s="66"/>
      <c r="E867" s="132"/>
      <c r="F867" s="132"/>
      <c r="G867" s="133"/>
      <c r="H867" s="40"/>
      <c r="I867" s="40"/>
      <c r="J867" s="136"/>
      <c r="K867" s="66"/>
    </row>
    <row r="868" spans="3:11" x14ac:dyDescent="0.25">
      <c r="C868" s="66"/>
      <c r="E868" s="132"/>
      <c r="F868" s="132"/>
      <c r="G868" s="133"/>
      <c r="H868" s="40"/>
      <c r="I868" s="40"/>
      <c r="J868" s="136"/>
      <c r="K868" s="66"/>
    </row>
    <row r="869" spans="3:11" x14ac:dyDescent="0.25">
      <c r="C869" s="66"/>
      <c r="E869" s="132"/>
      <c r="F869" s="132"/>
      <c r="G869" s="133"/>
      <c r="H869" s="40"/>
      <c r="I869" s="40"/>
      <c r="J869" s="136"/>
      <c r="K869" s="66"/>
    </row>
    <row r="870" spans="3:11" x14ac:dyDescent="0.25">
      <c r="C870" s="66"/>
      <c r="E870" s="132"/>
      <c r="F870" s="132"/>
      <c r="G870" s="133"/>
      <c r="H870" s="40"/>
      <c r="I870" s="40"/>
      <c r="J870" s="136"/>
      <c r="K870" s="66"/>
    </row>
    <row r="871" spans="3:11" x14ac:dyDescent="0.25">
      <c r="C871" s="66"/>
      <c r="E871" s="132"/>
      <c r="F871" s="132"/>
      <c r="G871" s="133"/>
      <c r="H871" s="40"/>
      <c r="I871" s="40"/>
      <c r="J871" s="136"/>
      <c r="K871" s="66"/>
    </row>
    <row r="872" spans="3:11" x14ac:dyDescent="0.25">
      <c r="C872" s="66"/>
      <c r="E872" s="132"/>
      <c r="F872" s="132"/>
      <c r="G872" s="133"/>
      <c r="H872" s="40"/>
      <c r="I872" s="40"/>
      <c r="J872" s="136"/>
      <c r="K872" s="66"/>
    </row>
    <row r="873" spans="3:11" x14ac:dyDescent="0.25">
      <c r="C873" s="66"/>
      <c r="E873" s="132"/>
      <c r="F873" s="132"/>
      <c r="G873" s="133"/>
      <c r="H873" s="40"/>
      <c r="I873" s="40"/>
      <c r="J873" s="136"/>
      <c r="K873" s="66"/>
    </row>
    <row r="874" spans="3:11" x14ac:dyDescent="0.25">
      <c r="C874" s="66"/>
      <c r="E874" s="132"/>
      <c r="F874" s="132"/>
      <c r="G874" s="133"/>
      <c r="H874" s="40"/>
      <c r="I874" s="40"/>
      <c r="J874" s="136"/>
      <c r="K874" s="66"/>
    </row>
    <row r="875" spans="3:11" x14ac:dyDescent="0.25">
      <c r="C875" s="66"/>
      <c r="E875" s="132"/>
      <c r="F875" s="132"/>
      <c r="G875" s="133"/>
      <c r="H875" s="40"/>
      <c r="I875" s="40"/>
      <c r="J875" s="136"/>
      <c r="K875" s="66"/>
    </row>
    <row r="876" spans="3:11" x14ac:dyDescent="0.25">
      <c r="C876" s="66"/>
      <c r="E876" s="132"/>
      <c r="F876" s="132"/>
      <c r="G876" s="133"/>
      <c r="H876" s="40"/>
      <c r="I876" s="40"/>
      <c r="J876" s="136"/>
      <c r="K876" s="66"/>
    </row>
    <row r="877" spans="3:11" x14ac:dyDescent="0.25">
      <c r="C877" s="66"/>
      <c r="E877" s="132"/>
      <c r="F877" s="132"/>
      <c r="G877" s="133"/>
      <c r="H877" s="40"/>
      <c r="I877" s="40"/>
      <c r="J877" s="136"/>
      <c r="K877" s="66"/>
    </row>
    <row r="878" spans="3:11" x14ac:dyDescent="0.25">
      <c r="C878" s="66"/>
      <c r="E878" s="132"/>
      <c r="F878" s="132"/>
      <c r="G878" s="133"/>
      <c r="H878" s="40"/>
      <c r="I878" s="40"/>
      <c r="J878" s="136"/>
      <c r="K878" s="66"/>
    </row>
    <row r="879" spans="3:11" x14ac:dyDescent="0.25">
      <c r="C879" s="66"/>
      <c r="E879" s="132"/>
      <c r="F879" s="132"/>
      <c r="G879" s="133"/>
      <c r="H879" s="40"/>
      <c r="I879" s="40"/>
      <c r="J879" s="136"/>
      <c r="K879" s="66"/>
    </row>
    <row r="880" spans="3:11" x14ac:dyDescent="0.25">
      <c r="C880" s="66"/>
      <c r="E880" s="132"/>
      <c r="F880" s="132"/>
      <c r="G880" s="133"/>
      <c r="H880" s="40"/>
      <c r="I880" s="40"/>
      <c r="J880" s="136"/>
      <c r="K880" s="66"/>
    </row>
    <row r="881" spans="3:11" x14ac:dyDescent="0.25">
      <c r="C881" s="66"/>
      <c r="E881" s="132"/>
      <c r="F881" s="132"/>
      <c r="G881" s="133"/>
      <c r="H881" s="40"/>
      <c r="I881" s="40"/>
      <c r="J881" s="136"/>
      <c r="K881" s="66"/>
    </row>
    <row r="882" spans="3:11" x14ac:dyDescent="0.25">
      <c r="C882" s="66"/>
      <c r="E882" s="132"/>
      <c r="F882" s="132"/>
      <c r="G882" s="133"/>
      <c r="H882" s="40"/>
      <c r="I882" s="40"/>
      <c r="J882" s="136"/>
      <c r="K882" s="66"/>
    </row>
    <row r="883" spans="3:11" x14ac:dyDescent="0.25">
      <c r="C883" s="66"/>
      <c r="E883" s="132"/>
      <c r="F883" s="132"/>
      <c r="G883" s="133"/>
      <c r="H883" s="40"/>
      <c r="I883" s="40"/>
      <c r="J883" s="136"/>
      <c r="K883" s="66"/>
    </row>
    <row r="884" spans="3:11" x14ac:dyDescent="0.25">
      <c r="C884" s="66"/>
      <c r="E884" s="132"/>
      <c r="F884" s="132"/>
      <c r="G884" s="133"/>
      <c r="H884" s="40"/>
      <c r="I884" s="40"/>
      <c r="J884" s="136"/>
      <c r="K884" s="66"/>
    </row>
    <row r="885" spans="3:11" x14ac:dyDescent="0.25">
      <c r="C885" s="66"/>
      <c r="E885" s="132"/>
      <c r="F885" s="132"/>
      <c r="G885" s="133"/>
      <c r="H885" s="40"/>
      <c r="I885" s="40"/>
      <c r="J885" s="136"/>
      <c r="K885" s="66"/>
    </row>
    <row r="886" spans="3:11" x14ac:dyDescent="0.25">
      <c r="C886" s="66"/>
      <c r="E886" s="132"/>
      <c r="F886" s="132"/>
      <c r="G886" s="133"/>
      <c r="H886" s="40"/>
      <c r="I886" s="40"/>
      <c r="J886" s="136"/>
      <c r="K886" s="66"/>
    </row>
    <row r="887" spans="3:11" x14ac:dyDescent="0.25">
      <c r="C887" s="66"/>
      <c r="E887" s="132"/>
      <c r="F887" s="132"/>
      <c r="G887" s="133"/>
      <c r="H887" s="40"/>
      <c r="I887" s="40"/>
      <c r="J887" s="136"/>
      <c r="K887" s="66"/>
    </row>
    <row r="888" spans="3:11" x14ac:dyDescent="0.25">
      <c r="C888" s="66"/>
      <c r="E888" s="132"/>
      <c r="F888" s="132"/>
      <c r="G888" s="133"/>
      <c r="H888" s="40"/>
      <c r="I888" s="40"/>
      <c r="J888" s="136"/>
      <c r="K888" s="66"/>
    </row>
    <row r="889" spans="3:11" x14ac:dyDescent="0.25">
      <c r="C889" s="66"/>
      <c r="E889" s="132"/>
      <c r="F889" s="132"/>
      <c r="G889" s="133"/>
      <c r="H889" s="40"/>
      <c r="I889" s="40"/>
      <c r="J889" s="136"/>
      <c r="K889" s="66"/>
    </row>
    <row r="890" spans="3:11" x14ac:dyDescent="0.25">
      <c r="C890" s="66"/>
      <c r="E890" s="132"/>
      <c r="F890" s="132"/>
      <c r="G890" s="133"/>
      <c r="H890" s="40"/>
      <c r="I890" s="40"/>
      <c r="J890" s="136"/>
      <c r="K890" s="66"/>
    </row>
    <row r="891" spans="3:11" x14ac:dyDescent="0.25">
      <c r="C891" s="66"/>
      <c r="E891" s="132"/>
      <c r="F891" s="132"/>
      <c r="G891" s="133"/>
      <c r="H891" s="40"/>
      <c r="I891" s="40"/>
      <c r="J891" s="136"/>
      <c r="K891" s="66"/>
    </row>
    <row r="892" spans="3:11" x14ac:dyDescent="0.25">
      <c r="C892" s="66"/>
      <c r="E892" s="132"/>
      <c r="F892" s="132"/>
      <c r="G892" s="133"/>
      <c r="H892" s="40"/>
      <c r="I892" s="40"/>
      <c r="J892" s="136"/>
      <c r="K892" s="66"/>
    </row>
    <row r="893" spans="3:11" x14ac:dyDescent="0.25">
      <c r="C893" s="66"/>
      <c r="E893" s="132"/>
      <c r="F893" s="132"/>
      <c r="G893" s="133"/>
      <c r="H893" s="40"/>
      <c r="I893" s="40"/>
      <c r="J893" s="136"/>
      <c r="K893" s="66"/>
    </row>
    <row r="894" spans="3:11" x14ac:dyDescent="0.25">
      <c r="C894" s="66"/>
      <c r="E894" s="132"/>
      <c r="F894" s="132"/>
      <c r="G894" s="133"/>
      <c r="H894" s="40"/>
      <c r="I894" s="40"/>
      <c r="J894" s="136"/>
      <c r="K894" s="66"/>
    </row>
    <row r="895" spans="3:11" x14ac:dyDescent="0.25">
      <c r="C895" s="66"/>
      <c r="E895" s="132"/>
      <c r="F895" s="132"/>
      <c r="G895" s="133"/>
      <c r="H895" s="40"/>
      <c r="I895" s="40"/>
      <c r="J895" s="136"/>
      <c r="K895" s="66"/>
    </row>
    <row r="896" spans="3:11" x14ac:dyDescent="0.25">
      <c r="C896" s="66"/>
      <c r="E896" s="132"/>
      <c r="F896" s="132"/>
      <c r="G896" s="133"/>
      <c r="H896" s="40"/>
      <c r="I896" s="40"/>
      <c r="J896" s="136"/>
      <c r="K896" s="66"/>
    </row>
    <row r="897" spans="3:11" x14ac:dyDescent="0.25">
      <c r="C897" s="66"/>
      <c r="E897" s="132"/>
      <c r="F897" s="132"/>
      <c r="G897" s="133"/>
      <c r="H897" s="40"/>
      <c r="I897" s="40"/>
      <c r="J897" s="136"/>
      <c r="K897" s="66"/>
    </row>
    <row r="898" spans="3:11" x14ac:dyDescent="0.25">
      <c r="C898" s="66"/>
      <c r="E898" s="132"/>
      <c r="F898" s="132"/>
      <c r="G898" s="133"/>
      <c r="H898" s="40"/>
      <c r="I898" s="40"/>
      <c r="J898" s="136"/>
      <c r="K898" s="66"/>
    </row>
    <row r="899" spans="3:11" x14ac:dyDescent="0.25">
      <c r="C899" s="66"/>
      <c r="E899" s="132"/>
      <c r="F899" s="132"/>
      <c r="G899" s="133"/>
      <c r="H899" s="40"/>
      <c r="I899" s="40"/>
      <c r="J899" s="136"/>
      <c r="K899" s="66"/>
    </row>
    <row r="900" spans="3:11" x14ac:dyDescent="0.25">
      <c r="C900" s="66"/>
      <c r="E900" s="132"/>
      <c r="F900" s="132"/>
      <c r="G900" s="133"/>
      <c r="H900" s="40"/>
      <c r="I900" s="40"/>
      <c r="J900" s="136"/>
      <c r="K900" s="66"/>
    </row>
    <row r="901" spans="3:11" x14ac:dyDescent="0.25">
      <c r="C901" s="66"/>
      <c r="E901" s="132"/>
      <c r="F901" s="132"/>
      <c r="G901" s="133"/>
      <c r="H901" s="40"/>
      <c r="I901" s="40"/>
      <c r="J901" s="136"/>
      <c r="K901" s="66"/>
    </row>
    <row r="902" spans="3:11" x14ac:dyDescent="0.25">
      <c r="C902" s="66"/>
      <c r="E902" s="132"/>
      <c r="F902" s="132"/>
      <c r="G902" s="133"/>
      <c r="H902" s="40"/>
      <c r="I902" s="40"/>
      <c r="J902" s="136"/>
      <c r="K902" s="66"/>
    </row>
    <row r="903" spans="3:11" x14ac:dyDescent="0.25">
      <c r="C903" s="66"/>
      <c r="E903" s="132"/>
      <c r="F903" s="132"/>
      <c r="G903" s="133"/>
      <c r="H903" s="40"/>
      <c r="I903" s="40"/>
      <c r="J903" s="136"/>
      <c r="K903" s="66"/>
    </row>
    <row r="904" spans="3:11" x14ac:dyDescent="0.25">
      <c r="C904" s="66"/>
      <c r="E904" s="132"/>
      <c r="F904" s="132"/>
      <c r="G904" s="133"/>
      <c r="H904" s="40"/>
      <c r="I904" s="40"/>
      <c r="J904" s="136"/>
      <c r="K904" s="66"/>
    </row>
    <row r="905" spans="3:11" x14ac:dyDescent="0.25">
      <c r="C905" s="66"/>
      <c r="E905" s="132"/>
      <c r="F905" s="132"/>
      <c r="G905" s="133"/>
      <c r="H905" s="40"/>
      <c r="I905" s="40"/>
      <c r="J905" s="136"/>
      <c r="K905" s="66"/>
    </row>
    <row r="906" spans="3:11" x14ac:dyDescent="0.25">
      <c r="C906" s="66"/>
      <c r="E906" s="132"/>
      <c r="F906" s="132"/>
      <c r="G906" s="133"/>
      <c r="H906" s="40"/>
      <c r="I906" s="40"/>
      <c r="J906" s="136"/>
      <c r="K906" s="66"/>
    </row>
    <row r="907" spans="3:11" x14ac:dyDescent="0.25">
      <c r="C907" s="66"/>
      <c r="E907" s="132"/>
      <c r="F907" s="132"/>
      <c r="G907" s="133"/>
      <c r="H907" s="40"/>
      <c r="I907" s="40"/>
      <c r="J907" s="136"/>
      <c r="K907" s="66"/>
    </row>
    <row r="908" spans="3:11" x14ac:dyDescent="0.25">
      <c r="C908" s="66"/>
      <c r="E908" s="132"/>
      <c r="F908" s="132"/>
      <c r="G908" s="133"/>
      <c r="H908" s="40"/>
      <c r="I908" s="40"/>
      <c r="J908" s="136"/>
      <c r="K908" s="66"/>
    </row>
    <row r="909" spans="3:11" x14ac:dyDescent="0.25">
      <c r="C909" s="66"/>
      <c r="E909" s="132"/>
      <c r="F909" s="132"/>
      <c r="G909" s="133"/>
      <c r="H909" s="40"/>
      <c r="I909" s="40"/>
      <c r="J909" s="136"/>
      <c r="K909" s="66"/>
    </row>
    <row r="910" spans="3:11" x14ac:dyDescent="0.25">
      <c r="C910" s="66"/>
      <c r="E910" s="132"/>
      <c r="F910" s="132"/>
      <c r="G910" s="133"/>
      <c r="H910" s="40"/>
      <c r="I910" s="40"/>
      <c r="J910" s="136"/>
      <c r="K910" s="66"/>
    </row>
    <row r="911" spans="3:11" x14ac:dyDescent="0.25">
      <c r="C911" s="66"/>
      <c r="E911" s="132"/>
      <c r="F911" s="132"/>
      <c r="G911" s="133"/>
      <c r="H911" s="40"/>
      <c r="I911" s="40"/>
      <c r="J911" s="136"/>
      <c r="K911" s="66"/>
    </row>
    <row r="912" spans="3:11" x14ac:dyDescent="0.25">
      <c r="C912" s="66"/>
      <c r="E912" s="132"/>
      <c r="F912" s="132"/>
      <c r="G912" s="133"/>
      <c r="H912" s="40"/>
      <c r="I912" s="40"/>
      <c r="J912" s="136"/>
      <c r="K912" s="66"/>
    </row>
    <row r="913" spans="3:11" x14ac:dyDescent="0.25">
      <c r="C913" s="66"/>
      <c r="E913" s="132"/>
      <c r="F913" s="132"/>
      <c r="G913" s="133"/>
      <c r="H913" s="40"/>
      <c r="I913" s="40"/>
      <c r="J913" s="136"/>
      <c r="K913" s="66"/>
    </row>
    <row r="914" spans="3:11" x14ac:dyDescent="0.25">
      <c r="C914" s="66"/>
      <c r="E914" s="132"/>
      <c r="F914" s="132"/>
      <c r="G914" s="133"/>
      <c r="H914" s="40"/>
      <c r="I914" s="40"/>
      <c r="J914" s="136"/>
      <c r="K914" s="66"/>
    </row>
    <row r="915" spans="3:11" x14ac:dyDescent="0.25">
      <c r="C915" s="66"/>
      <c r="E915" s="132"/>
      <c r="F915" s="132"/>
      <c r="G915" s="133"/>
      <c r="H915" s="40"/>
      <c r="I915" s="40"/>
      <c r="J915" s="136"/>
      <c r="K915" s="66"/>
    </row>
    <row r="916" spans="3:11" x14ac:dyDescent="0.25">
      <c r="C916" s="66"/>
      <c r="E916" s="132"/>
      <c r="F916" s="132"/>
      <c r="G916" s="133"/>
      <c r="H916" s="40"/>
      <c r="I916" s="40"/>
      <c r="J916" s="136"/>
      <c r="K916" s="66"/>
    </row>
    <row r="917" spans="3:11" x14ac:dyDescent="0.25">
      <c r="C917" s="66"/>
      <c r="E917" s="132"/>
      <c r="F917" s="132"/>
      <c r="G917" s="133"/>
      <c r="H917" s="40"/>
      <c r="I917" s="40"/>
      <c r="J917" s="136"/>
      <c r="K917" s="66"/>
    </row>
    <row r="918" spans="3:11" x14ac:dyDescent="0.25">
      <c r="C918" s="66"/>
      <c r="E918" s="132"/>
      <c r="F918" s="132"/>
      <c r="G918" s="133"/>
      <c r="H918" s="40"/>
      <c r="I918" s="40"/>
      <c r="J918" s="136"/>
      <c r="K918" s="66"/>
    </row>
    <row r="919" spans="3:11" x14ac:dyDescent="0.25">
      <c r="C919" s="66"/>
      <c r="E919" s="132"/>
      <c r="F919" s="132"/>
      <c r="G919" s="133"/>
      <c r="H919" s="40"/>
      <c r="I919" s="40"/>
      <c r="J919" s="136"/>
      <c r="K919" s="66"/>
    </row>
    <row r="920" spans="3:11" x14ac:dyDescent="0.25">
      <c r="C920" s="66"/>
      <c r="E920" s="132"/>
      <c r="F920" s="132"/>
      <c r="G920" s="133"/>
      <c r="H920" s="40"/>
      <c r="I920" s="40"/>
      <c r="J920" s="136"/>
      <c r="K920" s="66"/>
    </row>
    <row r="921" spans="3:11" x14ac:dyDescent="0.25">
      <c r="C921" s="66"/>
      <c r="E921" s="132"/>
      <c r="F921" s="132"/>
      <c r="G921" s="133"/>
      <c r="H921" s="40"/>
      <c r="I921" s="40"/>
      <c r="J921" s="136"/>
      <c r="K921" s="66"/>
    </row>
    <row r="922" spans="3:11" x14ac:dyDescent="0.25">
      <c r="C922" s="66"/>
      <c r="E922" s="132"/>
      <c r="F922" s="132"/>
      <c r="G922" s="133"/>
      <c r="H922" s="40"/>
      <c r="I922" s="40"/>
      <c r="J922" s="136"/>
      <c r="K922" s="66"/>
    </row>
    <row r="923" spans="3:11" x14ac:dyDescent="0.25">
      <c r="C923" s="66"/>
      <c r="E923" s="132"/>
      <c r="F923" s="132"/>
      <c r="G923" s="133"/>
      <c r="H923" s="40"/>
      <c r="I923" s="40"/>
      <c r="J923" s="136"/>
      <c r="K923" s="66"/>
    </row>
    <row r="924" spans="3:11" x14ac:dyDescent="0.25">
      <c r="C924" s="66"/>
      <c r="E924" s="132"/>
      <c r="F924" s="132"/>
      <c r="G924" s="133"/>
      <c r="H924" s="40"/>
      <c r="I924" s="40"/>
      <c r="J924" s="136"/>
      <c r="K924" s="66"/>
    </row>
    <row r="925" spans="3:11" x14ac:dyDescent="0.25">
      <c r="C925" s="66"/>
      <c r="E925" s="132"/>
      <c r="F925" s="132"/>
      <c r="G925" s="133"/>
      <c r="H925" s="40"/>
      <c r="I925" s="40"/>
      <c r="J925" s="136"/>
      <c r="K925" s="66"/>
    </row>
    <row r="926" spans="3:11" x14ac:dyDescent="0.25">
      <c r="C926" s="66"/>
      <c r="E926" s="132"/>
      <c r="F926" s="132"/>
      <c r="G926" s="133"/>
      <c r="H926" s="40"/>
      <c r="I926" s="40"/>
      <c r="J926" s="136"/>
      <c r="K926" s="66"/>
    </row>
    <row r="927" spans="3:11" x14ac:dyDescent="0.25">
      <c r="C927" s="66"/>
      <c r="E927" s="132"/>
      <c r="F927" s="132"/>
      <c r="G927" s="133"/>
      <c r="H927" s="40"/>
      <c r="I927" s="40"/>
      <c r="J927" s="136"/>
      <c r="K927" s="66"/>
    </row>
    <row r="928" spans="3:11" x14ac:dyDescent="0.25">
      <c r="C928" s="66"/>
      <c r="E928" s="132"/>
      <c r="F928" s="132"/>
      <c r="G928" s="133"/>
      <c r="H928" s="40"/>
      <c r="I928" s="40"/>
      <c r="J928" s="136"/>
      <c r="K928" s="66"/>
    </row>
    <row r="929" spans="3:11" x14ac:dyDescent="0.25">
      <c r="C929" s="66"/>
      <c r="E929" s="132"/>
      <c r="F929" s="132"/>
      <c r="G929" s="133"/>
      <c r="H929" s="40"/>
      <c r="I929" s="40"/>
      <c r="J929" s="136"/>
      <c r="K929" s="66"/>
    </row>
    <row r="930" spans="3:11" x14ac:dyDescent="0.25">
      <c r="C930" s="66"/>
      <c r="E930" s="132"/>
      <c r="F930" s="132"/>
      <c r="G930" s="133"/>
      <c r="H930" s="40"/>
      <c r="I930" s="40"/>
      <c r="J930" s="136"/>
      <c r="K930" s="66"/>
    </row>
    <row r="931" spans="3:11" x14ac:dyDescent="0.25">
      <c r="C931" s="66"/>
      <c r="E931" s="132"/>
      <c r="F931" s="132"/>
      <c r="G931" s="133"/>
      <c r="H931" s="40"/>
      <c r="I931" s="40"/>
      <c r="J931" s="136"/>
      <c r="K931" s="66"/>
    </row>
    <row r="932" spans="3:11" x14ac:dyDescent="0.25">
      <c r="C932" s="66"/>
      <c r="E932" s="132"/>
      <c r="F932" s="132"/>
      <c r="G932" s="133"/>
      <c r="H932" s="40"/>
      <c r="I932" s="40"/>
      <c r="J932" s="136"/>
      <c r="K932" s="66"/>
    </row>
    <row r="933" spans="3:11" x14ac:dyDescent="0.25">
      <c r="C933" s="66"/>
      <c r="E933" s="132"/>
      <c r="F933" s="132"/>
      <c r="G933" s="133"/>
      <c r="H933" s="40"/>
      <c r="I933" s="40"/>
      <c r="J933" s="136"/>
      <c r="K933" s="66"/>
    </row>
    <row r="934" spans="3:11" x14ac:dyDescent="0.25">
      <c r="C934" s="66"/>
      <c r="E934" s="132"/>
      <c r="F934" s="132"/>
      <c r="G934" s="133"/>
      <c r="H934" s="40"/>
      <c r="I934" s="40"/>
      <c r="J934" s="136"/>
      <c r="K934" s="66"/>
    </row>
    <row r="935" spans="3:11" x14ac:dyDescent="0.25">
      <c r="C935" s="66"/>
      <c r="E935" s="132"/>
      <c r="F935" s="132"/>
      <c r="G935" s="133"/>
      <c r="H935" s="40"/>
      <c r="I935" s="40"/>
      <c r="J935" s="136"/>
      <c r="K935" s="66"/>
    </row>
    <row r="936" spans="3:11" x14ac:dyDescent="0.25">
      <c r="C936" s="66"/>
      <c r="E936" s="132"/>
      <c r="F936" s="132"/>
      <c r="G936" s="133"/>
      <c r="H936" s="40"/>
      <c r="I936" s="40"/>
      <c r="J936" s="136"/>
      <c r="K936" s="66"/>
    </row>
    <row r="937" spans="3:11" x14ac:dyDescent="0.25">
      <c r="C937" s="66"/>
      <c r="E937" s="132"/>
      <c r="F937" s="132"/>
      <c r="G937" s="133"/>
      <c r="H937" s="40"/>
      <c r="I937" s="40"/>
      <c r="J937" s="136"/>
      <c r="K937" s="66"/>
    </row>
    <row r="938" spans="3:11" x14ac:dyDescent="0.25">
      <c r="C938" s="66"/>
      <c r="E938" s="132"/>
      <c r="F938" s="132"/>
      <c r="G938" s="133"/>
      <c r="H938" s="40"/>
      <c r="I938" s="40"/>
      <c r="J938" s="136"/>
      <c r="K938" s="66"/>
    </row>
    <row r="939" spans="3:11" x14ac:dyDescent="0.25">
      <c r="C939" s="66"/>
      <c r="E939" s="132"/>
      <c r="F939" s="132"/>
      <c r="G939" s="133"/>
      <c r="H939" s="40"/>
      <c r="I939" s="40"/>
      <c r="J939" s="136"/>
      <c r="K939" s="66"/>
    </row>
    <row r="940" spans="3:11" x14ac:dyDescent="0.25">
      <c r="C940" s="66"/>
      <c r="E940" s="132"/>
      <c r="F940" s="132"/>
      <c r="G940" s="133"/>
      <c r="H940" s="40"/>
      <c r="I940" s="40"/>
      <c r="J940" s="136"/>
      <c r="K940" s="66"/>
    </row>
    <row r="941" spans="3:11" x14ac:dyDescent="0.25">
      <c r="C941" s="66"/>
      <c r="E941" s="132"/>
      <c r="F941" s="132"/>
      <c r="G941" s="133"/>
      <c r="H941" s="40"/>
      <c r="I941" s="40"/>
      <c r="J941" s="136"/>
      <c r="K941" s="66"/>
    </row>
    <row r="942" spans="3:11" x14ac:dyDescent="0.25">
      <c r="C942" s="66"/>
      <c r="E942" s="132"/>
      <c r="F942" s="132"/>
      <c r="G942" s="133"/>
      <c r="H942" s="40"/>
      <c r="I942" s="40"/>
      <c r="J942" s="136"/>
      <c r="K942" s="66"/>
    </row>
    <row r="943" spans="3:11" x14ac:dyDescent="0.25">
      <c r="C943" s="66"/>
      <c r="E943" s="132"/>
      <c r="F943" s="132"/>
      <c r="G943" s="133"/>
      <c r="H943" s="40"/>
      <c r="I943" s="40"/>
      <c r="J943" s="136"/>
      <c r="K943" s="66"/>
    </row>
    <row r="944" spans="3:11" x14ac:dyDescent="0.25">
      <c r="C944" s="66"/>
      <c r="E944" s="132"/>
      <c r="F944" s="132"/>
      <c r="G944" s="133"/>
      <c r="H944" s="40"/>
      <c r="I944" s="40"/>
      <c r="J944" s="136"/>
      <c r="K944" s="66"/>
    </row>
    <row r="945" spans="3:11" x14ac:dyDescent="0.25">
      <c r="C945" s="66"/>
      <c r="E945" s="132"/>
      <c r="F945" s="132"/>
      <c r="G945" s="133"/>
      <c r="H945" s="40"/>
      <c r="I945" s="40"/>
      <c r="J945" s="136"/>
      <c r="K945" s="66"/>
    </row>
    <row r="946" spans="3:11" x14ac:dyDescent="0.25">
      <c r="C946" s="66"/>
      <c r="E946" s="132"/>
      <c r="F946" s="132"/>
      <c r="G946" s="133"/>
      <c r="H946" s="40"/>
      <c r="I946" s="40"/>
      <c r="J946" s="136"/>
      <c r="K946" s="66"/>
    </row>
    <row r="947" spans="3:11" x14ac:dyDescent="0.25">
      <c r="C947" s="66"/>
      <c r="E947" s="132"/>
      <c r="F947" s="132"/>
      <c r="G947" s="133"/>
      <c r="H947" s="40"/>
      <c r="I947" s="40"/>
      <c r="J947" s="136"/>
      <c r="K947" s="66"/>
    </row>
    <row r="948" spans="3:11" x14ac:dyDescent="0.25">
      <c r="C948" s="66"/>
      <c r="E948" s="132"/>
      <c r="F948" s="132"/>
      <c r="G948" s="133"/>
      <c r="H948" s="40"/>
      <c r="I948" s="40"/>
      <c r="J948" s="136"/>
      <c r="K948" s="66"/>
    </row>
    <row r="949" spans="3:11" x14ac:dyDescent="0.25">
      <c r="C949" s="66"/>
      <c r="E949" s="132"/>
      <c r="F949" s="132"/>
      <c r="G949" s="133"/>
      <c r="H949" s="40"/>
      <c r="I949" s="40"/>
      <c r="J949" s="136"/>
      <c r="K949" s="66"/>
    </row>
    <row r="950" spans="3:11" x14ac:dyDescent="0.25">
      <c r="C950" s="66"/>
      <c r="E950" s="132"/>
      <c r="F950" s="132"/>
      <c r="G950" s="133"/>
      <c r="H950" s="40"/>
      <c r="I950" s="40"/>
      <c r="J950" s="136"/>
      <c r="K950" s="66"/>
    </row>
    <row r="951" spans="3:11" x14ac:dyDescent="0.25">
      <c r="C951" s="66"/>
      <c r="E951" s="132"/>
      <c r="F951" s="132"/>
      <c r="G951" s="133"/>
      <c r="H951" s="40"/>
      <c r="I951" s="40"/>
      <c r="J951" s="136"/>
      <c r="K951" s="66"/>
    </row>
    <row r="952" spans="3:11" x14ac:dyDescent="0.25">
      <c r="C952" s="66"/>
      <c r="E952" s="132"/>
      <c r="F952" s="132"/>
      <c r="G952" s="133"/>
      <c r="H952" s="40"/>
      <c r="I952" s="40"/>
      <c r="J952" s="136"/>
      <c r="K952" s="66"/>
    </row>
    <row r="953" spans="3:11" x14ac:dyDescent="0.25">
      <c r="C953" s="66"/>
      <c r="E953" s="132"/>
      <c r="F953" s="132"/>
      <c r="G953" s="133"/>
      <c r="H953" s="40"/>
      <c r="I953" s="40"/>
      <c r="J953" s="136"/>
      <c r="K953" s="66"/>
    </row>
    <row r="954" spans="3:11" x14ac:dyDescent="0.25">
      <c r="C954" s="66"/>
      <c r="E954" s="132"/>
      <c r="F954" s="132"/>
      <c r="G954" s="133"/>
      <c r="H954" s="40"/>
      <c r="I954" s="40"/>
      <c r="J954" s="136"/>
      <c r="K954" s="66"/>
    </row>
    <row r="955" spans="3:11" x14ac:dyDescent="0.25">
      <c r="C955" s="66"/>
      <c r="E955" s="132"/>
      <c r="F955" s="132"/>
      <c r="G955" s="133"/>
      <c r="H955" s="40"/>
      <c r="I955" s="40"/>
      <c r="J955" s="136"/>
      <c r="K955" s="66"/>
    </row>
    <row r="956" spans="3:11" x14ac:dyDescent="0.25">
      <c r="C956" s="66"/>
      <c r="E956" s="132"/>
      <c r="F956" s="132"/>
      <c r="G956" s="133"/>
      <c r="H956" s="40"/>
      <c r="I956" s="40"/>
      <c r="J956" s="136"/>
      <c r="K956" s="66"/>
    </row>
    <row r="957" spans="3:11" x14ac:dyDescent="0.25">
      <c r="C957" s="66"/>
      <c r="E957" s="132"/>
      <c r="F957" s="132"/>
      <c r="G957" s="133"/>
      <c r="H957" s="40"/>
      <c r="I957" s="40"/>
      <c r="J957" s="136"/>
      <c r="K957" s="66"/>
    </row>
    <row r="958" spans="3:11" x14ac:dyDescent="0.25">
      <c r="C958" s="66"/>
      <c r="E958" s="132"/>
      <c r="F958" s="132"/>
      <c r="G958" s="133"/>
      <c r="H958" s="40"/>
      <c r="I958" s="40"/>
      <c r="J958" s="136"/>
      <c r="K958" s="66"/>
    </row>
    <row r="959" spans="3:11" x14ac:dyDescent="0.25">
      <c r="C959" s="66"/>
      <c r="E959" s="132"/>
      <c r="F959" s="132"/>
      <c r="G959" s="133"/>
      <c r="H959" s="40"/>
      <c r="I959" s="40"/>
      <c r="J959" s="136"/>
      <c r="K959" s="66"/>
    </row>
    <row r="960" spans="3:11" x14ac:dyDescent="0.25">
      <c r="C960" s="66"/>
      <c r="E960" s="132"/>
      <c r="F960" s="132"/>
      <c r="G960" s="133"/>
      <c r="H960" s="40"/>
      <c r="I960" s="40"/>
      <c r="J960" s="136"/>
      <c r="K960" s="66"/>
    </row>
    <row r="961" spans="3:11" x14ac:dyDescent="0.25">
      <c r="C961" s="66"/>
      <c r="E961" s="132"/>
      <c r="F961" s="132"/>
      <c r="G961" s="133"/>
      <c r="H961" s="40"/>
      <c r="I961" s="40"/>
      <c r="J961" s="136"/>
      <c r="K961" s="66"/>
    </row>
    <row r="962" spans="3:11" x14ac:dyDescent="0.25">
      <c r="C962" s="66"/>
      <c r="E962" s="132"/>
      <c r="F962" s="132"/>
      <c r="G962" s="133"/>
      <c r="H962" s="40"/>
      <c r="I962" s="40"/>
      <c r="J962" s="136"/>
      <c r="K962" s="66"/>
    </row>
    <row r="963" spans="3:11" x14ac:dyDescent="0.25">
      <c r="C963" s="66"/>
      <c r="E963" s="132"/>
      <c r="F963" s="132"/>
      <c r="G963" s="133"/>
      <c r="H963" s="40"/>
      <c r="I963" s="40"/>
      <c r="J963" s="136"/>
      <c r="K963" s="66"/>
    </row>
    <row r="964" spans="3:11" x14ac:dyDescent="0.25">
      <c r="C964" s="66"/>
      <c r="E964" s="132"/>
      <c r="F964" s="132"/>
      <c r="G964" s="133"/>
      <c r="H964" s="40"/>
      <c r="I964" s="40"/>
      <c r="J964" s="136"/>
      <c r="K964" s="66"/>
    </row>
    <row r="965" spans="3:11" x14ac:dyDescent="0.25">
      <c r="C965" s="66"/>
      <c r="E965" s="132"/>
      <c r="F965" s="132"/>
      <c r="G965" s="133"/>
      <c r="H965" s="40"/>
      <c r="I965" s="40"/>
      <c r="J965" s="136"/>
      <c r="K965" s="66"/>
    </row>
    <row r="966" spans="3:11" x14ac:dyDescent="0.25">
      <c r="C966" s="66"/>
      <c r="E966" s="132"/>
      <c r="F966" s="132"/>
      <c r="G966" s="133"/>
      <c r="H966" s="40"/>
      <c r="I966" s="40"/>
      <c r="J966" s="136"/>
      <c r="K966" s="66"/>
    </row>
    <row r="967" spans="3:11" x14ac:dyDescent="0.25">
      <c r="C967" s="66"/>
      <c r="E967" s="132"/>
      <c r="F967" s="132"/>
      <c r="G967" s="133"/>
      <c r="H967" s="40"/>
      <c r="I967" s="40"/>
      <c r="J967" s="136"/>
      <c r="K967" s="66"/>
    </row>
    <row r="968" spans="3:11" x14ac:dyDescent="0.25">
      <c r="C968" s="66"/>
      <c r="E968" s="132"/>
      <c r="F968" s="132"/>
      <c r="G968" s="133"/>
      <c r="H968" s="40"/>
      <c r="I968" s="40"/>
      <c r="J968" s="136"/>
      <c r="K968" s="66"/>
    </row>
    <row r="969" spans="3:11" x14ac:dyDescent="0.25">
      <c r="C969" s="66"/>
      <c r="E969" s="132"/>
      <c r="F969" s="132"/>
      <c r="G969" s="133"/>
      <c r="H969" s="40"/>
      <c r="I969" s="40"/>
      <c r="J969" s="136"/>
      <c r="K969" s="66"/>
    </row>
    <row r="970" spans="3:11" x14ac:dyDescent="0.25">
      <c r="C970" s="66"/>
      <c r="E970" s="132"/>
      <c r="F970" s="132"/>
      <c r="G970" s="133"/>
      <c r="H970" s="40"/>
      <c r="I970" s="40"/>
      <c r="J970" s="136"/>
      <c r="K970" s="66"/>
    </row>
    <row r="971" spans="3:11" x14ac:dyDescent="0.25">
      <c r="C971" s="66"/>
      <c r="E971" s="132"/>
      <c r="F971" s="132"/>
      <c r="G971" s="133"/>
      <c r="H971" s="40"/>
      <c r="I971" s="40"/>
      <c r="J971" s="136"/>
      <c r="K971" s="66"/>
    </row>
    <row r="972" spans="3:11" x14ac:dyDescent="0.25">
      <c r="C972" s="66"/>
      <c r="E972" s="132"/>
      <c r="F972" s="132"/>
      <c r="G972" s="133"/>
      <c r="H972" s="40"/>
      <c r="I972" s="40"/>
      <c r="J972" s="136"/>
      <c r="K972" s="66"/>
    </row>
    <row r="973" spans="3:11" x14ac:dyDescent="0.25">
      <c r="C973" s="66"/>
      <c r="E973" s="132"/>
      <c r="F973" s="132"/>
      <c r="G973" s="133"/>
      <c r="H973" s="40"/>
      <c r="I973" s="40"/>
      <c r="J973" s="136"/>
      <c r="K973" s="66"/>
    </row>
    <row r="974" spans="3:11" x14ac:dyDescent="0.25">
      <c r="C974" s="66"/>
      <c r="E974" s="132"/>
      <c r="F974" s="132"/>
      <c r="G974" s="133"/>
      <c r="H974" s="40"/>
      <c r="I974" s="40"/>
      <c r="J974" s="136"/>
      <c r="K974" s="66"/>
    </row>
    <row r="975" spans="3:11" x14ac:dyDescent="0.25">
      <c r="C975" s="66"/>
      <c r="E975" s="132"/>
      <c r="F975" s="132"/>
      <c r="G975" s="133"/>
      <c r="H975" s="40"/>
      <c r="I975" s="40"/>
      <c r="J975" s="136"/>
      <c r="K975" s="66"/>
    </row>
    <row r="976" spans="3:11" x14ac:dyDescent="0.25">
      <c r="C976" s="66"/>
      <c r="E976" s="132"/>
      <c r="F976" s="132"/>
      <c r="G976" s="133"/>
      <c r="H976" s="40"/>
      <c r="I976" s="40"/>
      <c r="J976" s="136"/>
      <c r="K976" s="66"/>
    </row>
    <row r="977" spans="3:11" x14ac:dyDescent="0.25">
      <c r="C977" s="66"/>
      <c r="E977" s="132"/>
      <c r="F977" s="132"/>
      <c r="G977" s="133"/>
      <c r="H977" s="40"/>
      <c r="I977" s="40"/>
      <c r="J977" s="136"/>
      <c r="K977" s="66"/>
    </row>
    <row r="978" spans="3:11" x14ac:dyDescent="0.25">
      <c r="C978" s="66"/>
      <c r="E978" s="132"/>
      <c r="F978" s="132"/>
      <c r="G978" s="133"/>
      <c r="H978" s="40"/>
      <c r="I978" s="40"/>
      <c r="J978" s="136"/>
      <c r="K978" s="66"/>
    </row>
    <row r="979" spans="3:11" x14ac:dyDescent="0.25">
      <c r="C979" s="66"/>
      <c r="E979" s="132"/>
      <c r="F979" s="132"/>
      <c r="G979" s="133"/>
      <c r="H979" s="40"/>
      <c r="I979" s="40"/>
      <c r="J979" s="136"/>
      <c r="K979" s="66"/>
    </row>
    <row r="980" spans="3:11" x14ac:dyDescent="0.25">
      <c r="C980" s="66"/>
      <c r="E980" s="132"/>
      <c r="F980" s="132"/>
      <c r="G980" s="133"/>
      <c r="H980" s="40"/>
      <c r="I980" s="40"/>
      <c r="J980" s="136"/>
      <c r="K980" s="66"/>
    </row>
    <row r="981" spans="3:11" x14ac:dyDescent="0.25">
      <c r="C981" s="66"/>
      <c r="E981" s="132"/>
      <c r="F981" s="132"/>
      <c r="G981" s="133"/>
      <c r="H981" s="40"/>
      <c r="I981" s="40"/>
      <c r="J981" s="136"/>
      <c r="K981" s="66"/>
    </row>
    <row r="982" spans="3:11" x14ac:dyDescent="0.25">
      <c r="C982" s="66"/>
      <c r="E982" s="132"/>
      <c r="F982" s="132"/>
      <c r="G982" s="133"/>
      <c r="H982" s="40"/>
      <c r="I982" s="40"/>
      <c r="J982" s="136"/>
      <c r="K982" s="66"/>
    </row>
    <row r="983" spans="3:11" x14ac:dyDescent="0.25">
      <c r="C983" s="66"/>
      <c r="E983" s="132"/>
      <c r="F983" s="132"/>
      <c r="G983" s="133"/>
      <c r="H983" s="40"/>
      <c r="I983" s="40"/>
      <c r="J983" s="136"/>
      <c r="K983" s="66"/>
    </row>
    <row r="984" spans="3:11" x14ac:dyDescent="0.25">
      <c r="C984" s="66"/>
      <c r="E984" s="132"/>
      <c r="F984" s="132"/>
      <c r="G984" s="133"/>
      <c r="H984" s="40"/>
      <c r="I984" s="40"/>
      <c r="J984" s="136"/>
      <c r="K984" s="66"/>
    </row>
    <row r="985" spans="3:11" x14ac:dyDescent="0.25">
      <c r="C985" s="66"/>
      <c r="E985" s="132"/>
      <c r="F985" s="132"/>
      <c r="G985" s="133"/>
      <c r="H985" s="40"/>
      <c r="I985" s="40"/>
      <c r="J985" s="136"/>
      <c r="K985" s="66"/>
    </row>
    <row r="986" spans="3:11" x14ac:dyDescent="0.25">
      <c r="C986" s="66"/>
      <c r="E986" s="132"/>
      <c r="F986" s="132"/>
      <c r="G986" s="133"/>
      <c r="H986" s="40"/>
      <c r="I986" s="40"/>
      <c r="J986" s="136"/>
      <c r="K986" s="66"/>
    </row>
    <row r="987" spans="3:11" x14ac:dyDescent="0.25">
      <c r="C987" s="66"/>
      <c r="E987" s="132"/>
      <c r="F987" s="132"/>
      <c r="G987" s="133"/>
      <c r="H987" s="40"/>
      <c r="I987" s="40"/>
      <c r="J987" s="136"/>
      <c r="K987" s="66"/>
    </row>
    <row r="988" spans="3:11" x14ac:dyDescent="0.25">
      <c r="C988" s="66"/>
      <c r="E988" s="132"/>
      <c r="F988" s="132"/>
      <c r="G988" s="133"/>
      <c r="H988" s="40"/>
      <c r="I988" s="40"/>
      <c r="J988" s="136"/>
      <c r="K988" s="66"/>
    </row>
    <row r="989" spans="3:11" x14ac:dyDescent="0.25">
      <c r="C989" s="66"/>
      <c r="E989" s="132"/>
      <c r="F989" s="132"/>
      <c r="G989" s="133"/>
      <c r="H989" s="40"/>
      <c r="I989" s="40"/>
      <c r="J989" s="136"/>
      <c r="K989" s="66"/>
    </row>
    <row r="990" spans="3:11" x14ac:dyDescent="0.25">
      <c r="C990" s="66"/>
      <c r="E990" s="132"/>
      <c r="F990" s="132"/>
      <c r="G990" s="133"/>
      <c r="H990" s="40"/>
      <c r="I990" s="40"/>
      <c r="J990" s="136"/>
      <c r="K990" s="66"/>
    </row>
    <row r="991" spans="3:11" x14ac:dyDescent="0.25">
      <c r="C991" s="66"/>
      <c r="E991" s="132"/>
      <c r="F991" s="132"/>
      <c r="G991" s="133"/>
      <c r="H991" s="40"/>
      <c r="I991" s="40"/>
      <c r="J991" s="136"/>
      <c r="K991" s="66"/>
    </row>
    <row r="992" spans="3:11" x14ac:dyDescent="0.25">
      <c r="C992" s="66"/>
      <c r="E992" s="132"/>
      <c r="F992" s="132"/>
      <c r="G992" s="133"/>
      <c r="H992" s="40"/>
      <c r="I992" s="40"/>
      <c r="J992" s="136"/>
      <c r="K992" s="66"/>
    </row>
    <row r="993" spans="3:11" x14ac:dyDescent="0.25">
      <c r="C993" s="66"/>
      <c r="E993" s="132"/>
      <c r="F993" s="132"/>
      <c r="G993" s="133"/>
      <c r="H993" s="40"/>
      <c r="I993" s="40"/>
      <c r="J993" s="136"/>
      <c r="K993" s="66"/>
    </row>
    <row r="994" spans="3:11" x14ac:dyDescent="0.25">
      <c r="C994" s="66"/>
      <c r="E994" s="132"/>
      <c r="F994" s="132"/>
      <c r="G994" s="133"/>
      <c r="H994" s="40"/>
      <c r="I994" s="40"/>
      <c r="J994" s="136"/>
      <c r="K994" s="66"/>
    </row>
    <row r="995" spans="3:11" x14ac:dyDescent="0.25">
      <c r="C995" s="66"/>
      <c r="E995" s="132"/>
      <c r="F995" s="132"/>
      <c r="G995" s="133"/>
      <c r="H995" s="40"/>
      <c r="I995" s="40"/>
      <c r="J995" s="136"/>
      <c r="K995" s="66"/>
    </row>
    <row r="996" spans="3:11" x14ac:dyDescent="0.25">
      <c r="C996" s="66"/>
      <c r="E996" s="132"/>
      <c r="F996" s="132"/>
      <c r="G996" s="133"/>
      <c r="H996" s="40"/>
      <c r="I996" s="40"/>
      <c r="J996" s="136"/>
      <c r="K996" s="66"/>
    </row>
    <row r="997" spans="3:11" x14ac:dyDescent="0.25">
      <c r="C997" s="66"/>
      <c r="E997" s="132"/>
      <c r="F997" s="132"/>
      <c r="G997" s="133"/>
      <c r="H997" s="40"/>
      <c r="I997" s="40"/>
      <c r="J997" s="136"/>
      <c r="K997" s="66"/>
    </row>
    <row r="998" spans="3:11" x14ac:dyDescent="0.25">
      <c r="C998" s="66"/>
      <c r="E998" s="132"/>
      <c r="F998" s="132"/>
      <c r="G998" s="133"/>
      <c r="H998" s="40"/>
      <c r="I998" s="40"/>
      <c r="J998" s="136"/>
      <c r="K998" s="66"/>
    </row>
    <row r="999" spans="3:11" x14ac:dyDescent="0.25">
      <c r="C999" s="66"/>
      <c r="E999" s="132"/>
      <c r="F999" s="132"/>
      <c r="G999" s="133"/>
      <c r="H999" s="40"/>
      <c r="I999" s="40"/>
      <c r="J999" s="136"/>
      <c r="K999" s="66"/>
    </row>
    <row r="1000" spans="3:11" x14ac:dyDescent="0.25">
      <c r="C1000" s="66"/>
      <c r="E1000" s="132"/>
      <c r="F1000" s="132"/>
      <c r="G1000" s="133"/>
      <c r="H1000" s="40"/>
      <c r="I1000" s="40"/>
      <c r="J1000" s="136"/>
      <c r="K1000" s="66"/>
    </row>
    <row r="1001" spans="3:11" x14ac:dyDescent="0.25">
      <c r="C1001" s="66"/>
      <c r="J1001" s="66"/>
      <c r="K1001" s="66"/>
    </row>
    <row r="1002" spans="3:11" x14ac:dyDescent="0.25">
      <c r="C1002" s="66"/>
      <c r="J1002" s="66"/>
      <c r="K1002" s="66"/>
    </row>
    <row r="1003" spans="3:11" x14ac:dyDescent="0.25">
      <c r="C1003" s="66"/>
      <c r="J1003" s="66"/>
      <c r="K1003" s="66"/>
    </row>
    <row r="1004" spans="3:11" x14ac:dyDescent="0.25">
      <c r="C1004" s="66"/>
      <c r="J1004" s="66"/>
      <c r="K1004" s="66"/>
    </row>
    <row r="1005" spans="3:11" x14ac:dyDescent="0.25">
      <c r="C1005" s="66"/>
      <c r="J1005" s="66"/>
      <c r="K1005" s="66"/>
    </row>
    <row r="1006" spans="3:11" x14ac:dyDescent="0.25">
      <c r="C1006" s="66"/>
      <c r="J1006" s="66"/>
      <c r="K1006" s="66"/>
    </row>
    <row r="1007" spans="3:11" x14ac:dyDescent="0.25">
      <c r="C1007" s="66"/>
      <c r="J1007" s="66"/>
      <c r="K1007" s="66"/>
    </row>
    <row r="1008" spans="3:11" x14ac:dyDescent="0.25">
      <c r="C1008" s="66"/>
      <c r="J1008" s="66"/>
      <c r="K1008" s="66"/>
    </row>
    <row r="1009" spans="3:11" x14ac:dyDescent="0.25">
      <c r="C1009" s="66"/>
      <c r="J1009" s="66"/>
      <c r="K1009" s="66"/>
    </row>
    <row r="1010" spans="3:11" x14ac:dyDescent="0.25">
      <c r="C1010" s="66"/>
      <c r="J1010" s="66"/>
      <c r="K1010" s="66"/>
    </row>
    <row r="1011" spans="3:11" x14ac:dyDescent="0.25">
      <c r="C1011" s="66"/>
      <c r="J1011" s="66"/>
      <c r="K1011" s="66"/>
    </row>
    <row r="1012" spans="3:11" x14ac:dyDescent="0.25">
      <c r="C1012" s="66"/>
      <c r="J1012" s="66"/>
      <c r="K1012" s="66"/>
    </row>
    <row r="1013" spans="3:11" x14ac:dyDescent="0.25">
      <c r="C1013" s="66"/>
      <c r="J1013" s="66"/>
      <c r="K1013" s="66"/>
    </row>
    <row r="1014" spans="3:11" x14ac:dyDescent="0.25">
      <c r="C1014" s="66"/>
      <c r="J1014" s="66"/>
      <c r="K1014" s="66"/>
    </row>
    <row r="1015" spans="3:11" x14ac:dyDescent="0.25">
      <c r="C1015" s="66"/>
      <c r="J1015" s="66"/>
      <c r="K1015" s="66"/>
    </row>
    <row r="1016" spans="3:11" x14ac:dyDescent="0.25">
      <c r="C1016" s="66"/>
      <c r="J1016" s="66"/>
      <c r="K1016" s="66"/>
    </row>
    <row r="1017" spans="3:11" x14ac:dyDescent="0.25">
      <c r="C1017" s="66"/>
      <c r="J1017" s="66"/>
      <c r="K1017" s="66"/>
    </row>
    <row r="1018" spans="3:11" x14ac:dyDescent="0.25">
      <c r="C1018" s="66"/>
      <c r="J1018" s="66"/>
      <c r="K1018" s="66"/>
    </row>
    <row r="1019" spans="3:11" x14ac:dyDescent="0.25">
      <c r="C1019" s="66"/>
      <c r="J1019" s="66"/>
      <c r="K1019" s="66"/>
    </row>
    <row r="1020" spans="3:11" x14ac:dyDescent="0.25">
      <c r="C1020" s="66"/>
      <c r="J1020" s="66"/>
      <c r="K1020" s="66"/>
    </row>
    <row r="1021" spans="3:11" x14ac:dyDescent="0.25">
      <c r="C1021" s="66"/>
      <c r="J1021" s="66"/>
      <c r="K1021" s="66"/>
    </row>
    <row r="1022" spans="3:11" x14ac:dyDescent="0.25">
      <c r="C1022" s="66"/>
      <c r="J1022" s="66"/>
      <c r="K1022" s="66"/>
    </row>
    <row r="1023" spans="3:11" x14ac:dyDescent="0.25">
      <c r="C1023" s="66"/>
      <c r="J1023" s="66"/>
      <c r="K1023" s="66"/>
    </row>
    <row r="1024" spans="3:11" x14ac:dyDescent="0.25">
      <c r="C1024" s="66"/>
      <c r="J1024" s="66"/>
      <c r="K1024" s="66"/>
    </row>
    <row r="1025" spans="3:11" x14ac:dyDescent="0.25">
      <c r="C1025" s="66"/>
      <c r="J1025" s="66"/>
      <c r="K1025" s="66"/>
    </row>
    <row r="1026" spans="3:11" x14ac:dyDescent="0.25">
      <c r="C1026" s="66"/>
      <c r="J1026" s="66"/>
      <c r="K1026" s="66"/>
    </row>
    <row r="1027" spans="3:11" x14ac:dyDescent="0.25">
      <c r="C1027" s="66"/>
      <c r="J1027" s="66"/>
      <c r="K1027" s="66"/>
    </row>
    <row r="1028" spans="3:11" x14ac:dyDescent="0.25">
      <c r="C1028" s="66"/>
      <c r="J1028" s="66"/>
      <c r="K1028" s="66"/>
    </row>
    <row r="1029" spans="3:11" x14ac:dyDescent="0.25">
      <c r="C1029" s="66"/>
      <c r="J1029" s="66"/>
      <c r="K1029" s="66"/>
    </row>
    <row r="1030" spans="3:11" x14ac:dyDescent="0.25">
      <c r="C1030" s="66"/>
      <c r="J1030" s="66"/>
      <c r="K1030" s="66"/>
    </row>
    <row r="1031" spans="3:11" x14ac:dyDescent="0.25">
      <c r="C1031" s="66"/>
      <c r="J1031" s="66"/>
      <c r="K1031" s="66"/>
    </row>
    <row r="1032" spans="3:11" x14ac:dyDescent="0.25">
      <c r="C1032" s="66"/>
      <c r="J1032" s="66"/>
      <c r="K1032" s="66"/>
    </row>
    <row r="1033" spans="3:11" x14ac:dyDescent="0.25">
      <c r="C1033" s="66"/>
      <c r="J1033" s="66"/>
      <c r="K1033" s="66"/>
    </row>
    <row r="1034" spans="3:11" x14ac:dyDescent="0.25">
      <c r="C1034" s="66"/>
      <c r="J1034" s="66"/>
      <c r="K1034" s="66"/>
    </row>
    <row r="1035" spans="3:11" x14ac:dyDescent="0.25">
      <c r="C1035" s="66"/>
      <c r="J1035" s="66"/>
      <c r="K1035" s="66"/>
    </row>
    <row r="1036" spans="3:11" x14ac:dyDescent="0.25">
      <c r="C1036" s="66"/>
      <c r="J1036" s="66"/>
      <c r="K1036" s="66"/>
    </row>
    <row r="1037" spans="3:11" x14ac:dyDescent="0.25">
      <c r="C1037" s="66"/>
      <c r="J1037" s="66"/>
      <c r="K1037" s="66"/>
    </row>
    <row r="1038" spans="3:11" x14ac:dyDescent="0.25">
      <c r="C1038" s="66"/>
      <c r="J1038" s="66"/>
      <c r="K1038" s="66"/>
    </row>
    <row r="1039" spans="3:11" x14ac:dyDescent="0.25">
      <c r="C1039" s="66"/>
      <c r="J1039" s="66"/>
      <c r="K1039" s="66"/>
    </row>
    <row r="1040" spans="3:11" x14ac:dyDescent="0.25">
      <c r="C1040" s="66"/>
      <c r="J1040" s="66"/>
      <c r="K1040" s="66"/>
    </row>
    <row r="1041" spans="3:11" x14ac:dyDescent="0.25">
      <c r="C1041" s="66"/>
      <c r="J1041" s="66"/>
      <c r="K1041" s="66"/>
    </row>
    <row r="1042" spans="3:11" x14ac:dyDescent="0.25">
      <c r="C1042" s="66"/>
      <c r="J1042" s="66"/>
      <c r="K1042" s="66"/>
    </row>
    <row r="1043" spans="3:11" x14ac:dyDescent="0.25">
      <c r="C1043" s="66"/>
      <c r="J1043" s="66"/>
      <c r="K1043" s="66"/>
    </row>
    <row r="1044" spans="3:11" x14ac:dyDescent="0.25">
      <c r="C1044" s="66"/>
      <c r="J1044" s="66"/>
      <c r="K1044" s="66"/>
    </row>
    <row r="1045" spans="3:11" x14ac:dyDescent="0.25">
      <c r="C1045" s="66"/>
      <c r="J1045" s="66"/>
      <c r="K1045" s="66"/>
    </row>
    <row r="1046" spans="3:11" x14ac:dyDescent="0.25">
      <c r="C1046" s="66"/>
      <c r="J1046" s="66"/>
      <c r="K1046" s="66"/>
    </row>
    <row r="1047" spans="3:11" x14ac:dyDescent="0.25">
      <c r="C1047" s="66"/>
      <c r="J1047" s="66"/>
      <c r="K1047" s="66"/>
    </row>
    <row r="1048" spans="3:11" x14ac:dyDescent="0.25">
      <c r="C1048" s="66"/>
      <c r="J1048" s="66"/>
      <c r="K1048" s="66"/>
    </row>
    <row r="1049" spans="3:11" x14ac:dyDescent="0.25">
      <c r="C1049" s="66"/>
      <c r="J1049" s="66"/>
      <c r="K1049" s="66"/>
    </row>
    <row r="1050" spans="3:11" x14ac:dyDescent="0.25">
      <c r="C1050" s="66"/>
      <c r="J1050" s="66"/>
      <c r="K1050" s="66"/>
    </row>
    <row r="1051" spans="3:11" x14ac:dyDescent="0.25">
      <c r="C1051" s="66"/>
      <c r="J1051" s="66"/>
      <c r="K1051" s="66"/>
    </row>
    <row r="1052" spans="3:11" x14ac:dyDescent="0.25">
      <c r="C1052" s="66"/>
      <c r="J1052" s="66"/>
      <c r="K1052" s="66"/>
    </row>
    <row r="1053" spans="3:11" x14ac:dyDescent="0.25">
      <c r="C1053" s="66"/>
      <c r="J1053" s="66"/>
      <c r="K1053" s="66"/>
    </row>
    <row r="1054" spans="3:11" x14ac:dyDescent="0.25">
      <c r="C1054" s="66"/>
      <c r="J1054" s="66"/>
      <c r="K1054" s="66"/>
    </row>
    <row r="1055" spans="3:11" x14ac:dyDescent="0.25">
      <c r="C1055" s="66"/>
      <c r="J1055" s="66"/>
      <c r="K1055" s="66"/>
    </row>
    <row r="1056" spans="3:11" x14ac:dyDescent="0.25">
      <c r="C1056" s="66"/>
      <c r="J1056" s="66"/>
      <c r="K1056" s="66"/>
    </row>
    <row r="1057" spans="3:11" x14ac:dyDescent="0.25">
      <c r="C1057" s="66"/>
      <c r="J1057" s="66"/>
      <c r="K1057" s="66"/>
    </row>
    <row r="1058" spans="3:11" x14ac:dyDescent="0.25">
      <c r="C1058" s="66"/>
      <c r="J1058" s="66"/>
      <c r="K1058" s="66"/>
    </row>
    <row r="1059" spans="3:11" x14ac:dyDescent="0.25">
      <c r="C1059" s="66"/>
      <c r="J1059" s="66"/>
      <c r="K1059" s="66"/>
    </row>
    <row r="1060" spans="3:11" x14ac:dyDescent="0.25">
      <c r="C1060" s="66"/>
      <c r="J1060" s="66"/>
      <c r="K1060" s="66"/>
    </row>
    <row r="1061" spans="3:11" x14ac:dyDescent="0.25">
      <c r="C1061" s="66"/>
      <c r="J1061" s="66"/>
      <c r="K1061" s="66"/>
    </row>
    <row r="1062" spans="3:11" x14ac:dyDescent="0.25">
      <c r="C1062" s="66"/>
      <c r="J1062" s="66"/>
      <c r="K1062" s="66"/>
    </row>
    <row r="1063" spans="3:11" x14ac:dyDescent="0.25">
      <c r="C1063" s="66"/>
      <c r="J1063" s="66"/>
      <c r="K1063" s="66"/>
    </row>
    <row r="1064" spans="3:11" x14ac:dyDescent="0.25">
      <c r="C1064" s="66"/>
      <c r="J1064" s="66"/>
      <c r="K1064" s="66"/>
    </row>
    <row r="1065" spans="3:11" x14ac:dyDescent="0.25">
      <c r="C1065" s="66"/>
      <c r="J1065" s="66"/>
      <c r="K1065" s="66"/>
    </row>
    <row r="1066" spans="3:11" x14ac:dyDescent="0.25">
      <c r="C1066" s="66"/>
      <c r="J1066" s="66"/>
      <c r="K1066" s="66"/>
    </row>
    <row r="1067" spans="3:11" x14ac:dyDescent="0.25">
      <c r="C1067" s="66"/>
      <c r="J1067" s="66"/>
      <c r="K1067" s="66"/>
    </row>
    <row r="1068" spans="3:11" x14ac:dyDescent="0.25">
      <c r="C1068" s="66"/>
      <c r="J1068" s="66"/>
      <c r="K1068" s="66"/>
    </row>
    <row r="1069" spans="3:11" x14ac:dyDescent="0.25">
      <c r="C1069" s="66"/>
      <c r="J1069" s="66"/>
      <c r="K1069" s="66"/>
    </row>
    <row r="1070" spans="3:11" x14ac:dyDescent="0.25">
      <c r="C1070" s="66"/>
      <c r="J1070" s="66"/>
      <c r="K1070" s="66"/>
    </row>
    <row r="1071" spans="3:11" x14ac:dyDescent="0.25">
      <c r="C1071" s="66"/>
      <c r="J1071" s="66"/>
      <c r="K1071" s="66"/>
    </row>
    <row r="1072" spans="3:11" x14ac:dyDescent="0.25">
      <c r="C1072" s="66"/>
      <c r="J1072" s="66"/>
      <c r="K1072" s="66"/>
    </row>
    <row r="1073" spans="3:11" x14ac:dyDescent="0.25">
      <c r="C1073" s="66"/>
      <c r="J1073" s="66"/>
      <c r="K1073" s="66"/>
    </row>
    <row r="1074" spans="3:11" x14ac:dyDescent="0.25">
      <c r="C1074" s="66"/>
      <c r="J1074" s="66"/>
      <c r="K1074" s="66"/>
    </row>
    <row r="1075" spans="3:11" x14ac:dyDescent="0.25">
      <c r="C1075" s="66"/>
      <c r="J1075" s="66"/>
      <c r="K1075" s="66"/>
    </row>
    <row r="1076" spans="3:11" x14ac:dyDescent="0.25">
      <c r="C1076" s="66"/>
      <c r="J1076" s="66"/>
      <c r="K1076" s="66"/>
    </row>
    <row r="1077" spans="3:11" x14ac:dyDescent="0.25">
      <c r="C1077" s="66"/>
      <c r="J1077" s="66"/>
      <c r="K1077" s="66"/>
    </row>
    <row r="1078" spans="3:11" x14ac:dyDescent="0.25">
      <c r="C1078" s="66"/>
      <c r="J1078" s="66"/>
      <c r="K1078" s="66"/>
    </row>
    <row r="1079" spans="3:11" x14ac:dyDescent="0.25">
      <c r="C1079" s="66"/>
      <c r="J1079" s="66"/>
      <c r="K1079" s="66"/>
    </row>
    <row r="1080" spans="3:11" x14ac:dyDescent="0.25">
      <c r="C1080" s="66"/>
      <c r="J1080" s="66"/>
      <c r="K1080" s="66"/>
    </row>
    <row r="1081" spans="3:11" x14ac:dyDescent="0.25">
      <c r="C1081" s="66"/>
      <c r="J1081" s="66"/>
      <c r="K1081" s="66"/>
    </row>
    <row r="1082" spans="3:11" x14ac:dyDescent="0.25">
      <c r="C1082" s="66"/>
      <c r="J1082" s="66"/>
      <c r="K1082" s="66"/>
    </row>
    <row r="1083" spans="3:11" x14ac:dyDescent="0.25">
      <c r="C1083" s="66"/>
      <c r="J1083" s="66"/>
      <c r="K1083" s="66"/>
    </row>
    <row r="1084" spans="3:11" x14ac:dyDescent="0.25">
      <c r="C1084" s="66"/>
      <c r="J1084" s="66"/>
      <c r="K1084" s="66"/>
    </row>
    <row r="1085" spans="3:11" x14ac:dyDescent="0.25">
      <c r="C1085" s="66"/>
      <c r="J1085" s="66"/>
      <c r="K1085" s="66"/>
    </row>
    <row r="1086" spans="3:11" x14ac:dyDescent="0.25">
      <c r="C1086" s="66"/>
      <c r="J1086" s="66"/>
      <c r="K1086" s="66"/>
    </row>
    <row r="1087" spans="3:11" x14ac:dyDescent="0.25">
      <c r="C1087" s="66"/>
      <c r="J1087" s="66"/>
      <c r="K1087" s="66"/>
    </row>
    <row r="1088" spans="3:11" x14ac:dyDescent="0.25">
      <c r="C1088" s="66"/>
      <c r="J1088" s="66"/>
      <c r="K1088" s="66"/>
    </row>
    <row r="1089" spans="3:11" x14ac:dyDescent="0.25">
      <c r="C1089" s="66"/>
      <c r="J1089" s="66"/>
      <c r="K1089" s="66"/>
    </row>
    <row r="1090" spans="3:11" x14ac:dyDescent="0.25">
      <c r="C1090" s="66"/>
      <c r="J1090" s="66"/>
      <c r="K1090" s="66"/>
    </row>
    <row r="1091" spans="3:11" x14ac:dyDescent="0.25">
      <c r="C1091" s="66"/>
      <c r="J1091" s="66"/>
      <c r="K1091" s="66"/>
    </row>
    <row r="1092" spans="3:11" x14ac:dyDescent="0.25">
      <c r="C1092" s="66"/>
      <c r="J1092" s="66"/>
      <c r="K1092" s="66"/>
    </row>
    <row r="1093" spans="3:11" x14ac:dyDescent="0.25">
      <c r="C1093" s="66"/>
      <c r="J1093" s="66"/>
      <c r="K1093" s="66"/>
    </row>
    <row r="1094" spans="3:11" x14ac:dyDescent="0.25">
      <c r="C1094" s="66"/>
      <c r="J1094" s="66"/>
      <c r="K1094" s="66"/>
    </row>
    <row r="1095" spans="3:11" x14ac:dyDescent="0.25">
      <c r="C1095" s="66"/>
      <c r="J1095" s="66"/>
      <c r="K1095" s="66"/>
    </row>
    <row r="1096" spans="3:11" x14ac:dyDescent="0.25">
      <c r="C1096" s="66"/>
      <c r="J1096" s="66"/>
      <c r="K1096" s="66"/>
    </row>
    <row r="1097" spans="3:11" x14ac:dyDescent="0.25">
      <c r="C1097" s="66"/>
      <c r="J1097" s="66"/>
      <c r="K1097" s="66"/>
    </row>
    <row r="1098" spans="3:11" x14ac:dyDescent="0.25">
      <c r="C1098" s="66"/>
      <c r="J1098" s="66"/>
      <c r="K1098" s="66"/>
    </row>
    <row r="1099" spans="3:11" x14ac:dyDescent="0.25">
      <c r="C1099" s="66"/>
      <c r="J1099" s="66"/>
      <c r="K1099" s="66"/>
    </row>
    <row r="1100" spans="3:11" x14ac:dyDescent="0.25">
      <c r="C1100" s="66"/>
      <c r="J1100" s="66"/>
      <c r="K1100" s="66"/>
    </row>
    <row r="1101" spans="3:11" x14ac:dyDescent="0.25">
      <c r="C1101" s="66"/>
      <c r="J1101" s="66"/>
      <c r="K1101" s="66"/>
    </row>
    <row r="1102" spans="3:11" x14ac:dyDescent="0.25">
      <c r="C1102" s="66"/>
      <c r="J1102" s="66"/>
      <c r="K1102" s="66"/>
    </row>
    <row r="1103" spans="3:11" x14ac:dyDescent="0.25">
      <c r="C1103" s="66"/>
      <c r="J1103" s="66"/>
      <c r="K1103" s="66"/>
    </row>
    <row r="1104" spans="3:11" x14ac:dyDescent="0.25">
      <c r="C1104" s="66"/>
      <c r="J1104" s="66"/>
      <c r="K1104" s="66"/>
    </row>
    <row r="1105" spans="3:11" x14ac:dyDescent="0.25">
      <c r="C1105" s="66"/>
      <c r="J1105" s="66"/>
      <c r="K1105" s="66"/>
    </row>
    <row r="1106" spans="3:11" x14ac:dyDescent="0.25">
      <c r="C1106" s="66"/>
      <c r="J1106" s="66"/>
      <c r="K1106" s="66"/>
    </row>
    <row r="1107" spans="3:11" x14ac:dyDescent="0.25">
      <c r="C1107" s="66"/>
      <c r="J1107" s="66"/>
      <c r="K1107" s="66"/>
    </row>
    <row r="1108" spans="3:11" x14ac:dyDescent="0.25">
      <c r="C1108" s="66"/>
      <c r="J1108" s="66"/>
      <c r="K1108" s="66"/>
    </row>
    <row r="1109" spans="3:11" x14ac:dyDescent="0.25">
      <c r="C1109" s="66"/>
      <c r="J1109" s="66"/>
      <c r="K1109" s="66"/>
    </row>
    <row r="1110" spans="3:11" x14ac:dyDescent="0.25">
      <c r="C1110" s="66"/>
      <c r="J1110" s="66"/>
      <c r="K1110" s="66"/>
    </row>
    <row r="1111" spans="3:11" x14ac:dyDescent="0.25">
      <c r="C1111" s="66"/>
      <c r="J1111" s="66"/>
      <c r="K1111" s="66"/>
    </row>
    <row r="1112" spans="3:11" x14ac:dyDescent="0.25">
      <c r="C1112" s="66"/>
      <c r="J1112" s="66"/>
      <c r="K1112" s="66"/>
    </row>
    <row r="1113" spans="3:11" x14ac:dyDescent="0.25">
      <c r="C1113" s="66"/>
      <c r="J1113" s="66"/>
      <c r="K1113" s="66"/>
    </row>
    <row r="1114" spans="3:11" x14ac:dyDescent="0.25">
      <c r="C1114" s="66"/>
      <c r="J1114" s="66"/>
      <c r="K1114" s="66"/>
    </row>
    <row r="1115" spans="3:11" x14ac:dyDescent="0.25">
      <c r="C1115" s="66"/>
      <c r="J1115" s="66"/>
      <c r="K1115" s="66"/>
    </row>
    <row r="1116" spans="3:11" x14ac:dyDescent="0.25">
      <c r="C1116" s="66"/>
      <c r="J1116" s="66"/>
      <c r="K1116" s="66"/>
    </row>
    <row r="1117" spans="3:11" x14ac:dyDescent="0.25">
      <c r="C1117" s="66"/>
      <c r="J1117" s="66"/>
      <c r="K1117" s="66"/>
    </row>
    <row r="1118" spans="3:11" x14ac:dyDescent="0.25">
      <c r="C1118" s="66"/>
      <c r="J1118" s="66"/>
      <c r="K1118" s="66"/>
    </row>
    <row r="1119" spans="3:11" x14ac:dyDescent="0.25">
      <c r="C1119" s="66"/>
      <c r="J1119" s="66"/>
      <c r="K1119" s="66"/>
    </row>
    <row r="1120" spans="3:11" x14ac:dyDescent="0.25">
      <c r="C1120" s="66"/>
      <c r="J1120" s="66"/>
      <c r="K1120" s="66"/>
    </row>
    <row r="1121" spans="3:11" x14ac:dyDescent="0.25">
      <c r="C1121" s="66"/>
      <c r="J1121" s="66"/>
      <c r="K1121" s="66"/>
    </row>
    <row r="1122" spans="3:11" x14ac:dyDescent="0.25">
      <c r="C1122" s="66"/>
      <c r="J1122" s="66"/>
      <c r="K1122" s="66"/>
    </row>
    <row r="1123" spans="3:11" x14ac:dyDescent="0.25">
      <c r="C1123" s="66"/>
      <c r="J1123" s="66"/>
      <c r="K1123" s="66"/>
    </row>
    <row r="1124" spans="3:11" x14ac:dyDescent="0.25">
      <c r="C1124" s="66"/>
      <c r="J1124" s="66"/>
      <c r="K1124" s="66"/>
    </row>
    <row r="1125" spans="3:11" x14ac:dyDescent="0.25">
      <c r="C1125" s="66"/>
      <c r="J1125" s="66"/>
      <c r="K1125" s="66"/>
    </row>
    <row r="1126" spans="3:11" x14ac:dyDescent="0.25">
      <c r="C1126" s="66"/>
      <c r="J1126" s="66"/>
      <c r="K1126" s="66"/>
    </row>
    <row r="1127" spans="3:11" x14ac:dyDescent="0.25">
      <c r="C1127" s="66"/>
      <c r="J1127" s="66"/>
      <c r="K1127" s="66"/>
    </row>
    <row r="1128" spans="3:11" x14ac:dyDescent="0.25">
      <c r="C1128" s="66"/>
      <c r="J1128" s="66"/>
      <c r="K1128" s="66"/>
    </row>
    <row r="1129" spans="3:11" x14ac:dyDescent="0.25">
      <c r="C1129" s="66"/>
      <c r="J1129" s="66"/>
      <c r="K1129" s="66"/>
    </row>
    <row r="1130" spans="3:11" x14ac:dyDescent="0.25">
      <c r="C1130" s="66"/>
      <c r="J1130" s="66"/>
      <c r="K1130" s="66"/>
    </row>
    <row r="1131" spans="3:11" x14ac:dyDescent="0.25">
      <c r="C1131" s="66"/>
      <c r="J1131" s="66"/>
      <c r="K1131" s="66"/>
    </row>
    <row r="1132" spans="3:11" x14ac:dyDescent="0.25">
      <c r="C1132" s="66"/>
      <c r="J1132" s="66"/>
      <c r="K1132" s="66"/>
    </row>
    <row r="1133" spans="3:11" x14ac:dyDescent="0.25">
      <c r="C1133" s="66"/>
      <c r="J1133" s="66"/>
      <c r="K1133" s="66"/>
    </row>
    <row r="1134" spans="3:11" x14ac:dyDescent="0.25">
      <c r="C1134" s="66"/>
      <c r="J1134" s="66"/>
      <c r="K1134" s="66"/>
    </row>
    <row r="1135" spans="3:11" x14ac:dyDescent="0.25">
      <c r="C1135" s="66"/>
      <c r="J1135" s="66"/>
      <c r="K1135" s="66"/>
    </row>
    <row r="1136" spans="3:11" x14ac:dyDescent="0.25">
      <c r="C1136" s="66"/>
      <c r="J1136" s="66"/>
      <c r="K1136" s="66"/>
    </row>
    <row r="1137" spans="3:11" x14ac:dyDescent="0.25">
      <c r="C1137" s="66"/>
      <c r="J1137" s="66"/>
      <c r="K1137" s="66"/>
    </row>
    <row r="1138" spans="3:11" x14ac:dyDescent="0.25">
      <c r="C1138" s="66"/>
      <c r="J1138" s="66"/>
      <c r="K1138" s="66"/>
    </row>
    <row r="1139" spans="3:11" x14ac:dyDescent="0.25">
      <c r="C1139" s="66"/>
      <c r="J1139" s="66"/>
      <c r="K1139" s="66"/>
    </row>
    <row r="1140" spans="3:11" x14ac:dyDescent="0.25">
      <c r="C1140" s="66"/>
      <c r="J1140" s="66"/>
      <c r="K1140" s="66"/>
    </row>
    <row r="1141" spans="3:11" x14ac:dyDescent="0.25">
      <c r="C1141" s="66"/>
      <c r="J1141" s="66"/>
      <c r="K1141" s="66"/>
    </row>
    <row r="1142" spans="3:11" x14ac:dyDescent="0.25">
      <c r="C1142" s="66"/>
      <c r="J1142" s="66"/>
      <c r="K1142" s="66"/>
    </row>
    <row r="1143" spans="3:11" x14ac:dyDescent="0.25">
      <c r="C1143" s="66"/>
      <c r="J1143" s="66"/>
      <c r="K1143" s="66"/>
    </row>
    <row r="1144" spans="3:11" x14ac:dyDescent="0.25">
      <c r="C1144" s="66"/>
      <c r="J1144" s="66"/>
      <c r="K1144" s="66"/>
    </row>
    <row r="1145" spans="3:11" x14ac:dyDescent="0.25">
      <c r="C1145" s="66"/>
      <c r="J1145" s="66"/>
      <c r="K1145" s="66"/>
    </row>
    <row r="1146" spans="3:11" x14ac:dyDescent="0.25">
      <c r="C1146" s="66"/>
      <c r="J1146" s="66"/>
      <c r="K1146" s="66"/>
    </row>
    <row r="1147" spans="3:11" x14ac:dyDescent="0.25">
      <c r="C1147" s="66"/>
      <c r="J1147" s="66"/>
      <c r="K1147" s="66"/>
    </row>
    <row r="1148" spans="3:11" x14ac:dyDescent="0.25">
      <c r="C1148" s="66"/>
      <c r="J1148" s="66"/>
      <c r="K1148" s="66"/>
    </row>
    <row r="1149" spans="3:11" x14ac:dyDescent="0.25">
      <c r="C1149" s="66"/>
      <c r="J1149" s="66"/>
      <c r="K1149" s="66"/>
    </row>
    <row r="1150" spans="3:11" x14ac:dyDescent="0.25">
      <c r="C1150" s="66"/>
      <c r="J1150" s="66"/>
      <c r="K1150" s="66"/>
    </row>
    <row r="1151" spans="3:11" x14ac:dyDescent="0.25">
      <c r="C1151" s="66"/>
      <c r="J1151" s="66"/>
      <c r="K1151" s="66"/>
    </row>
    <row r="1152" spans="3:11" x14ac:dyDescent="0.25">
      <c r="C1152" s="66"/>
      <c r="J1152" s="66"/>
      <c r="K1152" s="66"/>
    </row>
    <row r="1153" spans="3:11" x14ac:dyDescent="0.25">
      <c r="C1153" s="66"/>
      <c r="J1153" s="66"/>
      <c r="K1153" s="66"/>
    </row>
    <row r="1154" spans="3:11" x14ac:dyDescent="0.25">
      <c r="C1154" s="66"/>
      <c r="J1154" s="66"/>
      <c r="K1154" s="66"/>
    </row>
    <row r="1155" spans="3:11" x14ac:dyDescent="0.25">
      <c r="C1155" s="66"/>
      <c r="J1155" s="66"/>
      <c r="K1155" s="66"/>
    </row>
    <row r="1156" spans="3:11" x14ac:dyDescent="0.25">
      <c r="C1156" s="66"/>
      <c r="J1156" s="66"/>
      <c r="K1156" s="66"/>
    </row>
    <row r="1157" spans="3:11" x14ac:dyDescent="0.25">
      <c r="C1157" s="66"/>
      <c r="J1157" s="66"/>
      <c r="K1157" s="66"/>
    </row>
    <row r="1158" spans="3:11" x14ac:dyDescent="0.25">
      <c r="C1158" s="66"/>
      <c r="J1158" s="66"/>
      <c r="K1158" s="66"/>
    </row>
    <row r="1159" spans="3:11" x14ac:dyDescent="0.25">
      <c r="C1159" s="66"/>
      <c r="J1159" s="66"/>
      <c r="K1159" s="66"/>
    </row>
    <row r="1160" spans="3:11" x14ac:dyDescent="0.25">
      <c r="C1160" s="66"/>
      <c r="J1160" s="66"/>
      <c r="K1160" s="66"/>
    </row>
    <row r="1161" spans="3:11" x14ac:dyDescent="0.25">
      <c r="C1161" s="66"/>
      <c r="J1161" s="66"/>
      <c r="K1161" s="66"/>
    </row>
    <row r="1162" spans="3:11" x14ac:dyDescent="0.25">
      <c r="C1162" s="66"/>
      <c r="J1162" s="66"/>
      <c r="K1162" s="66"/>
    </row>
    <row r="1163" spans="3:11" x14ac:dyDescent="0.25">
      <c r="C1163" s="66"/>
      <c r="J1163" s="66"/>
      <c r="K1163" s="66"/>
    </row>
    <row r="1164" spans="3:11" x14ac:dyDescent="0.25">
      <c r="C1164" s="66"/>
      <c r="J1164" s="66"/>
      <c r="K1164" s="66"/>
    </row>
    <row r="1165" spans="3:11" x14ac:dyDescent="0.25">
      <c r="C1165" s="66"/>
      <c r="J1165" s="66"/>
      <c r="K1165" s="66"/>
    </row>
    <row r="1166" spans="3:11" x14ac:dyDescent="0.25">
      <c r="C1166" s="66"/>
      <c r="J1166" s="66"/>
      <c r="K1166" s="66"/>
    </row>
    <row r="1167" spans="3:11" x14ac:dyDescent="0.25">
      <c r="C1167" s="66"/>
      <c r="J1167" s="66"/>
      <c r="K1167" s="66"/>
    </row>
    <row r="1168" spans="3:11" x14ac:dyDescent="0.25">
      <c r="C1168" s="66"/>
      <c r="J1168" s="66"/>
      <c r="K1168" s="66"/>
    </row>
    <row r="1169" spans="3:11" x14ac:dyDescent="0.25">
      <c r="C1169" s="66"/>
      <c r="J1169" s="66"/>
      <c r="K1169" s="66"/>
    </row>
    <row r="1170" spans="3:11" x14ac:dyDescent="0.25">
      <c r="C1170" s="66"/>
      <c r="J1170" s="66"/>
      <c r="K1170" s="66"/>
    </row>
    <row r="1171" spans="3:11" x14ac:dyDescent="0.25">
      <c r="C1171" s="66"/>
      <c r="J1171" s="66"/>
      <c r="K1171" s="66"/>
    </row>
    <row r="1172" spans="3:11" x14ac:dyDescent="0.25">
      <c r="C1172" s="66"/>
      <c r="J1172" s="66"/>
      <c r="K1172" s="66"/>
    </row>
    <row r="1173" spans="3:11" x14ac:dyDescent="0.25">
      <c r="C1173" s="66"/>
      <c r="J1173" s="66"/>
      <c r="K1173" s="66"/>
    </row>
    <row r="1174" spans="3:11" x14ac:dyDescent="0.25">
      <c r="C1174" s="66"/>
      <c r="J1174" s="66"/>
      <c r="K1174" s="66"/>
    </row>
    <row r="1175" spans="3:11" x14ac:dyDescent="0.25">
      <c r="C1175" s="66"/>
      <c r="J1175" s="66"/>
      <c r="K1175" s="66"/>
    </row>
    <row r="1176" spans="3:11" x14ac:dyDescent="0.25">
      <c r="C1176" s="66"/>
      <c r="J1176" s="66"/>
      <c r="K1176" s="66"/>
    </row>
    <row r="1177" spans="3:11" x14ac:dyDescent="0.25">
      <c r="C1177" s="66"/>
      <c r="J1177" s="66"/>
      <c r="K1177" s="66"/>
    </row>
    <row r="1178" spans="3:11" x14ac:dyDescent="0.25">
      <c r="C1178" s="66"/>
      <c r="J1178" s="66"/>
      <c r="K1178" s="66"/>
    </row>
    <row r="1179" spans="3:11" x14ac:dyDescent="0.25">
      <c r="C1179" s="66"/>
      <c r="J1179" s="66"/>
      <c r="K1179" s="66"/>
    </row>
    <row r="1180" spans="3:11" x14ac:dyDescent="0.25">
      <c r="C1180" s="66"/>
      <c r="J1180" s="66"/>
      <c r="K1180" s="66"/>
    </row>
    <row r="1181" spans="3:11" x14ac:dyDescent="0.25">
      <c r="C1181" s="66"/>
      <c r="J1181" s="66"/>
      <c r="K1181" s="66"/>
    </row>
    <row r="1182" spans="3:11" x14ac:dyDescent="0.25">
      <c r="C1182" s="66"/>
      <c r="J1182" s="66"/>
      <c r="K1182" s="66"/>
    </row>
    <row r="1183" spans="3:11" x14ac:dyDescent="0.25">
      <c r="C1183" s="66"/>
      <c r="J1183" s="66"/>
      <c r="K1183" s="66"/>
    </row>
    <row r="1184" spans="3:11" x14ac:dyDescent="0.25">
      <c r="C1184" s="66"/>
      <c r="J1184" s="66"/>
      <c r="K1184" s="66"/>
    </row>
    <row r="1185" spans="3:11" x14ac:dyDescent="0.25">
      <c r="C1185" s="66"/>
      <c r="J1185" s="66"/>
      <c r="K1185" s="66"/>
    </row>
    <row r="1186" spans="3:11" x14ac:dyDescent="0.25">
      <c r="C1186" s="66"/>
      <c r="J1186" s="66"/>
      <c r="K1186" s="66"/>
    </row>
    <row r="1187" spans="3:11" x14ac:dyDescent="0.25">
      <c r="C1187" s="66"/>
      <c r="J1187" s="66"/>
      <c r="K1187" s="66"/>
    </row>
    <row r="1188" spans="3:11" x14ac:dyDescent="0.25">
      <c r="C1188" s="66"/>
      <c r="J1188" s="66"/>
      <c r="K1188" s="66"/>
    </row>
    <row r="1189" spans="3:11" x14ac:dyDescent="0.25">
      <c r="C1189" s="66"/>
      <c r="J1189" s="66"/>
      <c r="K1189" s="66"/>
    </row>
    <row r="1190" spans="3:11" x14ac:dyDescent="0.25">
      <c r="C1190" s="66"/>
      <c r="J1190" s="66"/>
      <c r="K1190" s="66"/>
    </row>
    <row r="1191" spans="3:11" x14ac:dyDescent="0.25">
      <c r="C1191" s="66"/>
      <c r="J1191" s="66"/>
      <c r="K1191" s="66"/>
    </row>
    <row r="1192" spans="3:11" x14ac:dyDescent="0.25">
      <c r="C1192" s="66"/>
      <c r="J1192" s="66"/>
      <c r="K1192" s="66"/>
    </row>
    <row r="1193" spans="3:11" x14ac:dyDescent="0.25">
      <c r="C1193" s="66"/>
      <c r="J1193" s="66"/>
      <c r="K1193" s="66"/>
    </row>
    <row r="1194" spans="3:11" x14ac:dyDescent="0.25">
      <c r="C1194" s="66"/>
      <c r="J1194" s="66"/>
      <c r="K1194" s="66"/>
    </row>
    <row r="1195" spans="3:11" x14ac:dyDescent="0.25">
      <c r="C1195" s="66"/>
      <c r="J1195" s="66"/>
      <c r="K1195" s="66"/>
    </row>
    <row r="1196" spans="3:11" x14ac:dyDescent="0.25">
      <c r="C1196" s="66"/>
      <c r="J1196" s="66"/>
      <c r="K1196" s="66"/>
    </row>
    <row r="1197" spans="3:11" x14ac:dyDescent="0.25">
      <c r="C1197" s="66"/>
      <c r="J1197" s="66"/>
      <c r="K1197" s="66"/>
    </row>
    <row r="1198" spans="3:11" x14ac:dyDescent="0.25">
      <c r="C1198" s="66"/>
      <c r="J1198" s="66"/>
      <c r="K1198" s="66"/>
    </row>
    <row r="1199" spans="3:11" x14ac:dyDescent="0.25">
      <c r="C1199" s="66"/>
      <c r="J1199" s="66"/>
      <c r="K1199" s="66"/>
    </row>
    <row r="1200" spans="3:11" x14ac:dyDescent="0.25">
      <c r="C1200" s="66"/>
      <c r="J1200" s="66"/>
      <c r="K1200" s="66"/>
    </row>
    <row r="1201" spans="3:11" x14ac:dyDescent="0.25">
      <c r="C1201" s="66"/>
      <c r="J1201" s="66"/>
      <c r="K1201" s="66"/>
    </row>
    <row r="1202" spans="3:11" x14ac:dyDescent="0.25">
      <c r="C1202" s="66"/>
      <c r="J1202" s="66"/>
      <c r="K1202" s="66"/>
    </row>
    <row r="1203" spans="3:11" x14ac:dyDescent="0.25">
      <c r="C1203" s="66"/>
      <c r="J1203" s="66"/>
      <c r="K1203" s="66"/>
    </row>
    <row r="1204" spans="3:11" x14ac:dyDescent="0.25">
      <c r="C1204" s="66"/>
      <c r="J1204" s="66"/>
      <c r="K1204" s="66"/>
    </row>
    <row r="1205" spans="3:11" x14ac:dyDescent="0.25">
      <c r="C1205" s="66"/>
      <c r="J1205" s="66"/>
      <c r="K1205" s="66"/>
    </row>
    <row r="1206" spans="3:11" x14ac:dyDescent="0.25">
      <c r="C1206" s="66"/>
      <c r="J1206" s="66"/>
      <c r="K1206" s="66"/>
    </row>
    <row r="1207" spans="3:11" x14ac:dyDescent="0.25">
      <c r="C1207" s="66"/>
      <c r="J1207" s="66"/>
      <c r="K1207" s="66"/>
    </row>
    <row r="1208" spans="3:11" x14ac:dyDescent="0.25">
      <c r="C1208" s="66"/>
      <c r="J1208" s="66"/>
      <c r="K1208" s="66"/>
    </row>
    <row r="1209" spans="3:11" x14ac:dyDescent="0.25">
      <c r="C1209" s="66"/>
      <c r="J1209" s="66"/>
      <c r="K1209" s="66"/>
    </row>
    <row r="1210" spans="3:11" x14ac:dyDescent="0.25">
      <c r="C1210" s="66"/>
      <c r="J1210" s="66"/>
      <c r="K1210" s="66"/>
    </row>
    <row r="1211" spans="3:11" x14ac:dyDescent="0.25">
      <c r="C1211" s="66"/>
      <c r="J1211" s="66"/>
      <c r="K1211" s="66"/>
    </row>
    <row r="1212" spans="3:11" x14ac:dyDescent="0.25">
      <c r="C1212" s="66"/>
      <c r="J1212" s="66"/>
      <c r="K1212" s="66"/>
    </row>
    <row r="1213" spans="3:11" x14ac:dyDescent="0.25">
      <c r="C1213" s="66"/>
      <c r="J1213" s="66"/>
      <c r="K1213" s="66"/>
    </row>
    <row r="1214" spans="3:11" x14ac:dyDescent="0.25">
      <c r="C1214" s="66"/>
      <c r="J1214" s="66"/>
      <c r="K1214" s="66"/>
    </row>
    <row r="1215" spans="3:11" x14ac:dyDescent="0.25">
      <c r="C1215" s="66"/>
      <c r="J1215" s="66"/>
      <c r="K1215" s="66"/>
    </row>
    <row r="1216" spans="3:11" x14ac:dyDescent="0.25">
      <c r="C1216" s="66"/>
      <c r="J1216" s="66"/>
      <c r="K1216" s="66"/>
    </row>
    <row r="1217" spans="3:11" x14ac:dyDescent="0.25">
      <c r="C1217" s="66"/>
      <c r="J1217" s="66"/>
      <c r="K1217" s="66"/>
    </row>
    <row r="1218" spans="3:11" x14ac:dyDescent="0.25">
      <c r="C1218" s="66"/>
      <c r="J1218" s="66"/>
      <c r="K1218" s="66"/>
    </row>
    <row r="1219" spans="3:11" x14ac:dyDescent="0.25">
      <c r="C1219" s="66"/>
      <c r="J1219" s="66"/>
      <c r="K1219" s="66"/>
    </row>
    <row r="1220" spans="3:11" x14ac:dyDescent="0.25">
      <c r="C1220" s="66"/>
      <c r="J1220" s="66"/>
      <c r="K1220" s="66"/>
    </row>
    <row r="1221" spans="3:11" x14ac:dyDescent="0.25">
      <c r="C1221" s="66"/>
      <c r="J1221" s="66"/>
      <c r="K1221" s="66"/>
    </row>
    <row r="1222" spans="3:11" x14ac:dyDescent="0.25">
      <c r="C1222" s="66"/>
      <c r="J1222" s="66"/>
      <c r="K1222" s="66"/>
    </row>
    <row r="1223" spans="3:11" x14ac:dyDescent="0.25">
      <c r="C1223" s="66"/>
      <c r="J1223" s="66"/>
      <c r="K1223" s="66"/>
    </row>
    <row r="1224" spans="3:11" x14ac:dyDescent="0.25">
      <c r="C1224" s="66"/>
      <c r="J1224" s="66"/>
      <c r="K1224" s="66"/>
    </row>
    <row r="1225" spans="3:11" x14ac:dyDescent="0.25">
      <c r="C1225" s="66"/>
      <c r="J1225" s="66"/>
      <c r="K1225" s="66"/>
    </row>
    <row r="1226" spans="3:11" x14ac:dyDescent="0.25">
      <c r="C1226" s="66"/>
      <c r="J1226" s="66"/>
      <c r="K1226" s="66"/>
    </row>
    <row r="1227" spans="3:11" x14ac:dyDescent="0.25">
      <c r="C1227" s="66"/>
      <c r="J1227" s="66"/>
      <c r="K1227" s="66"/>
    </row>
    <row r="1228" spans="3:11" x14ac:dyDescent="0.25">
      <c r="C1228" s="66"/>
      <c r="J1228" s="66"/>
      <c r="K1228" s="66"/>
    </row>
    <row r="1229" spans="3:11" x14ac:dyDescent="0.25">
      <c r="C1229" s="66"/>
      <c r="J1229" s="66"/>
      <c r="K1229" s="66"/>
    </row>
    <row r="1230" spans="3:11" x14ac:dyDescent="0.25">
      <c r="C1230" s="66"/>
      <c r="J1230" s="66"/>
      <c r="K1230" s="66"/>
    </row>
    <row r="1231" spans="3:11" x14ac:dyDescent="0.25">
      <c r="C1231" s="66"/>
      <c r="J1231" s="66"/>
      <c r="K1231" s="66"/>
    </row>
    <row r="1232" spans="3:11" x14ac:dyDescent="0.25">
      <c r="C1232" s="66"/>
      <c r="J1232" s="66"/>
      <c r="K1232" s="66"/>
    </row>
    <row r="1233" spans="3:11" x14ac:dyDescent="0.25">
      <c r="C1233" s="66"/>
      <c r="J1233" s="66"/>
      <c r="K1233" s="66"/>
    </row>
    <row r="1234" spans="3:11" x14ac:dyDescent="0.25">
      <c r="C1234" s="66"/>
      <c r="J1234" s="66"/>
      <c r="K1234" s="66"/>
    </row>
    <row r="1235" spans="3:11" x14ac:dyDescent="0.25">
      <c r="C1235" s="66"/>
      <c r="J1235" s="66"/>
      <c r="K1235" s="66"/>
    </row>
    <row r="1236" spans="3:11" x14ac:dyDescent="0.25">
      <c r="C1236" s="66"/>
      <c r="J1236" s="66"/>
      <c r="K1236" s="66"/>
    </row>
    <row r="1237" spans="3:11" x14ac:dyDescent="0.25">
      <c r="C1237" s="66"/>
      <c r="J1237" s="66"/>
      <c r="K1237" s="66"/>
    </row>
    <row r="1238" spans="3:11" x14ac:dyDescent="0.25">
      <c r="C1238" s="66"/>
      <c r="J1238" s="66"/>
      <c r="K1238" s="66"/>
    </row>
    <row r="1239" spans="3:11" x14ac:dyDescent="0.25">
      <c r="C1239" s="66"/>
      <c r="J1239" s="66"/>
      <c r="K1239" s="66"/>
    </row>
    <row r="1240" spans="3:11" x14ac:dyDescent="0.25">
      <c r="C1240" s="66"/>
      <c r="J1240" s="66"/>
      <c r="K1240" s="66"/>
    </row>
    <row r="1241" spans="3:11" x14ac:dyDescent="0.25">
      <c r="C1241" s="66"/>
      <c r="J1241" s="66"/>
      <c r="K1241" s="66"/>
    </row>
    <row r="1242" spans="3:11" x14ac:dyDescent="0.25">
      <c r="C1242" s="66"/>
      <c r="J1242" s="66"/>
      <c r="K1242" s="66"/>
    </row>
    <row r="1243" spans="3:11" x14ac:dyDescent="0.25">
      <c r="C1243" s="66"/>
      <c r="J1243" s="66"/>
      <c r="K1243" s="66"/>
    </row>
    <row r="1244" spans="3:11" x14ac:dyDescent="0.25">
      <c r="C1244" s="66"/>
      <c r="J1244" s="66"/>
      <c r="K1244" s="66"/>
    </row>
    <row r="1245" spans="3:11" x14ac:dyDescent="0.25">
      <c r="C1245" s="66"/>
      <c r="J1245" s="66"/>
      <c r="K1245" s="66"/>
    </row>
    <row r="1246" spans="3:11" x14ac:dyDescent="0.25">
      <c r="C1246" s="66"/>
      <c r="J1246" s="66"/>
      <c r="K1246" s="66"/>
    </row>
    <row r="1247" spans="3:11" x14ac:dyDescent="0.25">
      <c r="C1247" s="66"/>
      <c r="J1247" s="66"/>
      <c r="K1247" s="66"/>
    </row>
    <row r="1248" spans="3:11" x14ac:dyDescent="0.25">
      <c r="C1248" s="66"/>
      <c r="J1248" s="66"/>
      <c r="K1248" s="66"/>
    </row>
    <row r="1249" spans="3:11" x14ac:dyDescent="0.25">
      <c r="C1249" s="66"/>
      <c r="J1249" s="66"/>
      <c r="K1249" s="66"/>
    </row>
    <row r="1250" spans="3:11" x14ac:dyDescent="0.25">
      <c r="C1250" s="66"/>
      <c r="J1250" s="66"/>
      <c r="K1250" s="66"/>
    </row>
    <row r="1251" spans="3:11" x14ac:dyDescent="0.25">
      <c r="C1251" s="66"/>
      <c r="J1251" s="66"/>
      <c r="K1251" s="66"/>
    </row>
    <row r="1252" spans="3:11" x14ac:dyDescent="0.25">
      <c r="C1252" s="66"/>
      <c r="J1252" s="66"/>
      <c r="K1252" s="66"/>
    </row>
    <row r="1253" spans="3:11" x14ac:dyDescent="0.25">
      <c r="C1253" s="66"/>
      <c r="J1253" s="66"/>
      <c r="K1253" s="66"/>
    </row>
    <row r="1254" spans="3:11" x14ac:dyDescent="0.25">
      <c r="C1254" s="66"/>
      <c r="J1254" s="66"/>
      <c r="K1254" s="66"/>
    </row>
    <row r="1255" spans="3:11" x14ac:dyDescent="0.25">
      <c r="C1255" s="66"/>
      <c r="J1255" s="66"/>
      <c r="K1255" s="66"/>
    </row>
    <row r="1256" spans="3:11" x14ac:dyDescent="0.25">
      <c r="C1256" s="66"/>
      <c r="J1256" s="66"/>
      <c r="K1256" s="66"/>
    </row>
    <row r="1257" spans="3:11" x14ac:dyDescent="0.25">
      <c r="C1257" s="66"/>
      <c r="J1257" s="66"/>
      <c r="K1257" s="66"/>
    </row>
    <row r="1258" spans="3:11" x14ac:dyDescent="0.25">
      <c r="C1258" s="66"/>
      <c r="J1258" s="66"/>
      <c r="K1258" s="66"/>
    </row>
    <row r="1259" spans="3:11" x14ac:dyDescent="0.25">
      <c r="C1259" s="66"/>
      <c r="J1259" s="66"/>
      <c r="K1259" s="66"/>
    </row>
    <row r="1260" spans="3:11" x14ac:dyDescent="0.25">
      <c r="C1260" s="66"/>
      <c r="J1260" s="66"/>
      <c r="K1260" s="66"/>
    </row>
    <row r="1261" spans="3:11" x14ac:dyDescent="0.25">
      <c r="C1261" s="66"/>
      <c r="J1261" s="66"/>
      <c r="K1261" s="66"/>
    </row>
    <row r="1262" spans="3:11" x14ac:dyDescent="0.25">
      <c r="C1262" s="66"/>
      <c r="J1262" s="66"/>
      <c r="K1262" s="66"/>
    </row>
    <row r="1263" spans="3:11" x14ac:dyDescent="0.25">
      <c r="C1263" s="66"/>
      <c r="J1263" s="66"/>
      <c r="K1263" s="66"/>
    </row>
    <row r="1264" spans="3:11" x14ac:dyDescent="0.25">
      <c r="C1264" s="66"/>
      <c r="J1264" s="66"/>
      <c r="K1264" s="66"/>
    </row>
    <row r="1265" spans="3:11" x14ac:dyDescent="0.25">
      <c r="C1265" s="66"/>
      <c r="J1265" s="66"/>
      <c r="K1265" s="66"/>
    </row>
    <row r="1266" spans="3:11" x14ac:dyDescent="0.25">
      <c r="C1266" s="66"/>
      <c r="J1266" s="66"/>
      <c r="K1266" s="66"/>
    </row>
    <row r="1267" spans="3:11" x14ac:dyDescent="0.25">
      <c r="C1267" s="66"/>
      <c r="J1267" s="66"/>
      <c r="K1267" s="66"/>
    </row>
    <row r="1268" spans="3:11" x14ac:dyDescent="0.25">
      <c r="C1268" s="66"/>
      <c r="J1268" s="66"/>
      <c r="K1268" s="66"/>
    </row>
    <row r="1269" spans="3:11" x14ac:dyDescent="0.25">
      <c r="C1269" s="66"/>
      <c r="J1269" s="66"/>
      <c r="K1269" s="66"/>
    </row>
    <row r="1270" spans="3:11" x14ac:dyDescent="0.25">
      <c r="C1270" s="66"/>
      <c r="J1270" s="66"/>
      <c r="K1270" s="66"/>
    </row>
    <row r="1271" spans="3:11" x14ac:dyDescent="0.25">
      <c r="C1271" s="66"/>
      <c r="J1271" s="66"/>
      <c r="K1271" s="66"/>
    </row>
    <row r="1272" spans="3:11" x14ac:dyDescent="0.25">
      <c r="C1272" s="66"/>
      <c r="J1272" s="66"/>
      <c r="K1272" s="66"/>
    </row>
    <row r="1273" spans="3:11" x14ac:dyDescent="0.25">
      <c r="C1273" s="66"/>
      <c r="J1273" s="66"/>
      <c r="K1273" s="66"/>
    </row>
    <row r="1274" spans="3:11" x14ac:dyDescent="0.25">
      <c r="C1274" s="66"/>
      <c r="J1274" s="66"/>
      <c r="K1274" s="66"/>
    </row>
    <row r="1275" spans="3:11" x14ac:dyDescent="0.25">
      <c r="C1275" s="66"/>
      <c r="J1275" s="66"/>
      <c r="K1275" s="66"/>
    </row>
    <row r="1276" spans="3:11" x14ac:dyDescent="0.25">
      <c r="C1276" s="66"/>
      <c r="J1276" s="66"/>
      <c r="K1276" s="66"/>
    </row>
    <row r="1277" spans="3:11" x14ac:dyDescent="0.25">
      <c r="C1277" s="66"/>
      <c r="J1277" s="66"/>
      <c r="K1277" s="66"/>
    </row>
    <row r="1278" spans="3:11" x14ac:dyDescent="0.25">
      <c r="C1278" s="66"/>
      <c r="J1278" s="66"/>
      <c r="K1278" s="66"/>
    </row>
    <row r="1279" spans="3:11" x14ac:dyDescent="0.25">
      <c r="C1279" s="66"/>
      <c r="J1279" s="66"/>
      <c r="K1279" s="66"/>
    </row>
    <row r="1280" spans="3:11" x14ac:dyDescent="0.25">
      <c r="C1280" s="66"/>
      <c r="J1280" s="66"/>
      <c r="K1280" s="66"/>
    </row>
    <row r="1281" spans="3:11" x14ac:dyDescent="0.25">
      <c r="C1281" s="66"/>
      <c r="J1281" s="66"/>
      <c r="K1281" s="66"/>
    </row>
    <row r="1282" spans="3:11" x14ac:dyDescent="0.25">
      <c r="C1282" s="66"/>
      <c r="J1282" s="66"/>
      <c r="K1282" s="66"/>
    </row>
    <row r="1283" spans="3:11" x14ac:dyDescent="0.25">
      <c r="C1283" s="66"/>
      <c r="J1283" s="66"/>
      <c r="K1283" s="66"/>
    </row>
    <row r="1284" spans="3:11" x14ac:dyDescent="0.25">
      <c r="C1284" s="66"/>
      <c r="J1284" s="66"/>
      <c r="K1284" s="66"/>
    </row>
    <row r="1285" spans="3:11" x14ac:dyDescent="0.25">
      <c r="C1285" s="66"/>
      <c r="J1285" s="66"/>
      <c r="K1285" s="66"/>
    </row>
    <row r="1286" spans="3:11" x14ac:dyDescent="0.25">
      <c r="C1286" s="66"/>
      <c r="J1286" s="66"/>
      <c r="K1286" s="66"/>
    </row>
    <row r="1287" spans="3:11" x14ac:dyDescent="0.25">
      <c r="C1287" s="66"/>
      <c r="J1287" s="66"/>
      <c r="K1287" s="66"/>
    </row>
    <row r="1288" spans="3:11" x14ac:dyDescent="0.25">
      <c r="C1288" s="66"/>
      <c r="J1288" s="66"/>
      <c r="K1288" s="66"/>
    </row>
    <row r="1289" spans="3:11" x14ac:dyDescent="0.25">
      <c r="C1289" s="66"/>
      <c r="J1289" s="66"/>
      <c r="K1289" s="66"/>
    </row>
    <row r="1290" spans="3:11" x14ac:dyDescent="0.25">
      <c r="C1290" s="66"/>
      <c r="J1290" s="66"/>
      <c r="K1290" s="66"/>
    </row>
    <row r="1291" spans="3:11" x14ac:dyDescent="0.25">
      <c r="C1291" s="66"/>
      <c r="J1291" s="66"/>
      <c r="K1291" s="66"/>
    </row>
    <row r="1292" spans="3:11" x14ac:dyDescent="0.25">
      <c r="C1292" s="66"/>
      <c r="J1292" s="66"/>
      <c r="K1292" s="66"/>
    </row>
    <row r="1293" spans="3:11" x14ac:dyDescent="0.25">
      <c r="C1293" s="66"/>
      <c r="J1293" s="66"/>
      <c r="K1293" s="66"/>
    </row>
    <row r="1294" spans="3:11" x14ac:dyDescent="0.25">
      <c r="C1294" s="66"/>
      <c r="J1294" s="66"/>
      <c r="K1294" s="66"/>
    </row>
    <row r="1295" spans="3:11" x14ac:dyDescent="0.25">
      <c r="C1295" s="66"/>
      <c r="J1295" s="66"/>
      <c r="K1295" s="66"/>
    </row>
    <row r="1296" spans="3:11" x14ac:dyDescent="0.25">
      <c r="C1296" s="66"/>
      <c r="J1296" s="66"/>
      <c r="K1296" s="66"/>
    </row>
    <row r="1297" spans="3:11" x14ac:dyDescent="0.25">
      <c r="C1297" s="66"/>
      <c r="J1297" s="66"/>
      <c r="K1297" s="66"/>
    </row>
    <row r="1298" spans="3:11" x14ac:dyDescent="0.25">
      <c r="C1298" s="66"/>
      <c r="J1298" s="66"/>
      <c r="K1298" s="66"/>
    </row>
    <row r="1299" spans="3:11" x14ac:dyDescent="0.25">
      <c r="C1299" s="66"/>
      <c r="J1299" s="66"/>
      <c r="K1299" s="66"/>
    </row>
    <row r="1300" spans="3:11" x14ac:dyDescent="0.25">
      <c r="C1300" s="66"/>
      <c r="J1300" s="66"/>
      <c r="K1300" s="66"/>
    </row>
    <row r="1301" spans="3:11" x14ac:dyDescent="0.25">
      <c r="C1301" s="66"/>
      <c r="J1301" s="66"/>
      <c r="K1301" s="66"/>
    </row>
    <row r="1302" spans="3:11" x14ac:dyDescent="0.25">
      <c r="C1302" s="66"/>
      <c r="J1302" s="66"/>
      <c r="K1302" s="66"/>
    </row>
    <row r="1303" spans="3:11" x14ac:dyDescent="0.25">
      <c r="C1303" s="66"/>
      <c r="J1303" s="66"/>
      <c r="K1303" s="66"/>
    </row>
    <row r="1304" spans="3:11" x14ac:dyDescent="0.25">
      <c r="C1304" s="66"/>
      <c r="J1304" s="66"/>
      <c r="K1304" s="66"/>
    </row>
    <row r="1305" spans="3:11" x14ac:dyDescent="0.25">
      <c r="C1305" s="66"/>
      <c r="J1305" s="66"/>
      <c r="K1305" s="66"/>
    </row>
    <row r="1306" spans="3:11" x14ac:dyDescent="0.25">
      <c r="C1306" s="66"/>
      <c r="J1306" s="66"/>
      <c r="K1306" s="66"/>
    </row>
    <row r="1307" spans="3:11" x14ac:dyDescent="0.25">
      <c r="C1307" s="66"/>
      <c r="J1307" s="66"/>
      <c r="K1307" s="66"/>
    </row>
    <row r="1308" spans="3:11" x14ac:dyDescent="0.25">
      <c r="C1308" s="66"/>
      <c r="J1308" s="66"/>
      <c r="K1308" s="66"/>
    </row>
    <row r="1309" spans="3:11" x14ac:dyDescent="0.25">
      <c r="C1309" s="66"/>
      <c r="J1309" s="66"/>
      <c r="K1309" s="66"/>
    </row>
    <row r="1310" spans="3:11" x14ac:dyDescent="0.25">
      <c r="C1310" s="66"/>
      <c r="J1310" s="66"/>
      <c r="K1310" s="66"/>
    </row>
    <row r="1311" spans="3:11" x14ac:dyDescent="0.25">
      <c r="C1311" s="66"/>
      <c r="J1311" s="66"/>
      <c r="K1311" s="66"/>
    </row>
    <row r="1312" spans="3:11" x14ac:dyDescent="0.25">
      <c r="C1312" s="66"/>
      <c r="J1312" s="66"/>
      <c r="K1312" s="66"/>
    </row>
    <row r="1313" spans="3:11" x14ac:dyDescent="0.25">
      <c r="C1313" s="66"/>
      <c r="J1313" s="66"/>
      <c r="K1313" s="66"/>
    </row>
    <row r="1314" spans="3:11" x14ac:dyDescent="0.25">
      <c r="C1314" s="66"/>
      <c r="J1314" s="66"/>
      <c r="K1314" s="66"/>
    </row>
    <row r="1315" spans="3:11" x14ac:dyDescent="0.25">
      <c r="C1315" s="66"/>
      <c r="J1315" s="66"/>
      <c r="K1315" s="66"/>
    </row>
    <row r="1316" spans="3:11" x14ac:dyDescent="0.25">
      <c r="C1316" s="66"/>
      <c r="J1316" s="66"/>
      <c r="K1316" s="66"/>
    </row>
    <row r="1317" spans="3:11" x14ac:dyDescent="0.25">
      <c r="C1317" s="66"/>
      <c r="J1317" s="66"/>
      <c r="K1317" s="66"/>
    </row>
    <row r="1318" spans="3:11" x14ac:dyDescent="0.25">
      <c r="C1318" s="66"/>
      <c r="J1318" s="66"/>
      <c r="K1318" s="66"/>
    </row>
    <row r="1319" spans="3:11" x14ac:dyDescent="0.25">
      <c r="C1319" s="66"/>
      <c r="J1319" s="66"/>
      <c r="K1319" s="66"/>
    </row>
    <row r="1320" spans="3:11" x14ac:dyDescent="0.25">
      <c r="C1320" s="66"/>
      <c r="J1320" s="66"/>
      <c r="K1320" s="66"/>
    </row>
    <row r="1321" spans="3:11" x14ac:dyDescent="0.25">
      <c r="C1321" s="66"/>
      <c r="J1321" s="66"/>
      <c r="K1321" s="66"/>
    </row>
    <row r="1322" spans="3:11" x14ac:dyDescent="0.25">
      <c r="C1322" s="66"/>
      <c r="J1322" s="66"/>
      <c r="K1322" s="66"/>
    </row>
    <row r="1323" spans="3:11" x14ac:dyDescent="0.25">
      <c r="C1323" s="66"/>
      <c r="J1323" s="66"/>
      <c r="K1323" s="66"/>
    </row>
    <row r="1324" spans="3:11" x14ac:dyDescent="0.25">
      <c r="C1324" s="66"/>
      <c r="J1324" s="66"/>
      <c r="K1324" s="66"/>
    </row>
    <row r="1325" spans="3:11" x14ac:dyDescent="0.25">
      <c r="C1325" s="66"/>
      <c r="J1325" s="66"/>
      <c r="K1325" s="66"/>
    </row>
    <row r="1326" spans="3:11" x14ac:dyDescent="0.25">
      <c r="C1326" s="66"/>
      <c r="J1326" s="66"/>
      <c r="K1326" s="66"/>
    </row>
    <row r="1327" spans="3:11" x14ac:dyDescent="0.25">
      <c r="C1327" s="66"/>
      <c r="J1327" s="66"/>
      <c r="K1327" s="66"/>
    </row>
    <row r="1328" spans="3:11" x14ac:dyDescent="0.25">
      <c r="C1328" s="66"/>
      <c r="J1328" s="66"/>
      <c r="K1328" s="66"/>
    </row>
    <row r="1329" spans="3:11" x14ac:dyDescent="0.25">
      <c r="C1329" s="66"/>
      <c r="J1329" s="66"/>
      <c r="K1329" s="66"/>
    </row>
    <row r="1330" spans="3:11" x14ac:dyDescent="0.25">
      <c r="C1330" s="66"/>
      <c r="J1330" s="66"/>
      <c r="K1330" s="66"/>
    </row>
    <row r="1331" spans="3:11" x14ac:dyDescent="0.25">
      <c r="C1331" s="66"/>
      <c r="J1331" s="66"/>
      <c r="K1331" s="66"/>
    </row>
    <row r="1332" spans="3:11" x14ac:dyDescent="0.25">
      <c r="C1332" s="66"/>
      <c r="J1332" s="66"/>
      <c r="K1332" s="66"/>
    </row>
    <row r="1333" spans="3:11" x14ac:dyDescent="0.25">
      <c r="C1333" s="66"/>
      <c r="J1333" s="66"/>
      <c r="K1333" s="66"/>
    </row>
    <row r="1334" spans="3:11" x14ac:dyDescent="0.25">
      <c r="C1334" s="66"/>
      <c r="J1334" s="66"/>
      <c r="K1334" s="66"/>
    </row>
    <row r="1335" spans="3:11" x14ac:dyDescent="0.25">
      <c r="C1335" s="66"/>
      <c r="J1335" s="66"/>
      <c r="K1335" s="66"/>
    </row>
    <row r="1336" spans="3:11" x14ac:dyDescent="0.25">
      <c r="C1336" s="66"/>
      <c r="J1336" s="66"/>
      <c r="K1336" s="66"/>
    </row>
    <row r="1337" spans="3:11" x14ac:dyDescent="0.25">
      <c r="C1337" s="66"/>
      <c r="J1337" s="66"/>
      <c r="K1337" s="66"/>
    </row>
    <row r="1338" spans="3:11" x14ac:dyDescent="0.25">
      <c r="C1338" s="66"/>
      <c r="J1338" s="66"/>
      <c r="K1338" s="66"/>
    </row>
    <row r="1339" spans="3:11" x14ac:dyDescent="0.25">
      <c r="C1339" s="66"/>
      <c r="J1339" s="66"/>
      <c r="K1339" s="66"/>
    </row>
    <row r="1340" spans="3:11" x14ac:dyDescent="0.25">
      <c r="C1340" s="66"/>
      <c r="J1340" s="66"/>
      <c r="K1340" s="66"/>
    </row>
    <row r="1341" spans="3:11" x14ac:dyDescent="0.25">
      <c r="C1341" s="66"/>
      <c r="J1341" s="66"/>
      <c r="K1341" s="66"/>
    </row>
    <row r="1342" spans="3:11" x14ac:dyDescent="0.25">
      <c r="C1342" s="66"/>
      <c r="J1342" s="66"/>
      <c r="K1342" s="66"/>
    </row>
    <row r="1343" spans="3:11" x14ac:dyDescent="0.25">
      <c r="C1343" s="66"/>
      <c r="J1343" s="66"/>
      <c r="K1343" s="66"/>
    </row>
    <row r="1344" spans="3:11" x14ac:dyDescent="0.25">
      <c r="C1344" s="66"/>
      <c r="J1344" s="66"/>
      <c r="K1344" s="66"/>
    </row>
    <row r="1345" spans="3:11" x14ac:dyDescent="0.25">
      <c r="C1345" s="66"/>
      <c r="J1345" s="66"/>
      <c r="K1345" s="66"/>
    </row>
    <row r="1346" spans="3:11" x14ac:dyDescent="0.25">
      <c r="C1346" s="66"/>
      <c r="J1346" s="66"/>
      <c r="K1346" s="66"/>
    </row>
    <row r="1347" spans="3:11" x14ac:dyDescent="0.25">
      <c r="C1347" s="66"/>
      <c r="J1347" s="66"/>
      <c r="K1347" s="66"/>
    </row>
    <row r="1348" spans="3:11" x14ac:dyDescent="0.25">
      <c r="C1348" s="66"/>
      <c r="J1348" s="66"/>
      <c r="K1348" s="66"/>
    </row>
    <row r="1349" spans="3:11" x14ac:dyDescent="0.25">
      <c r="C1349" s="66"/>
      <c r="J1349" s="66"/>
      <c r="K1349" s="66"/>
    </row>
    <row r="1350" spans="3:11" x14ac:dyDescent="0.25">
      <c r="C1350" s="66"/>
      <c r="J1350" s="66"/>
      <c r="K1350" s="66"/>
    </row>
    <row r="1351" spans="3:11" x14ac:dyDescent="0.25">
      <c r="C1351" s="66"/>
      <c r="J1351" s="66"/>
      <c r="K1351" s="66"/>
    </row>
    <row r="1352" spans="3:11" x14ac:dyDescent="0.25">
      <c r="C1352" s="66"/>
      <c r="J1352" s="66"/>
      <c r="K1352" s="66"/>
    </row>
    <row r="1353" spans="3:11" x14ac:dyDescent="0.25">
      <c r="C1353" s="66"/>
      <c r="J1353" s="66"/>
      <c r="K1353" s="66"/>
    </row>
    <row r="1354" spans="3:11" x14ac:dyDescent="0.25">
      <c r="C1354" s="66"/>
      <c r="J1354" s="66"/>
      <c r="K1354" s="66"/>
    </row>
    <row r="1355" spans="3:11" x14ac:dyDescent="0.25">
      <c r="C1355" s="66"/>
      <c r="J1355" s="66"/>
      <c r="K1355" s="66"/>
    </row>
    <row r="1356" spans="3:11" x14ac:dyDescent="0.25">
      <c r="C1356" s="66"/>
      <c r="J1356" s="66"/>
      <c r="K1356" s="66"/>
    </row>
    <row r="1357" spans="3:11" x14ac:dyDescent="0.25">
      <c r="C1357" s="66"/>
      <c r="J1357" s="66"/>
      <c r="K1357" s="66"/>
    </row>
    <row r="1358" spans="3:11" x14ac:dyDescent="0.25">
      <c r="C1358" s="66"/>
      <c r="J1358" s="66"/>
      <c r="K1358" s="66"/>
    </row>
    <row r="1359" spans="3:11" x14ac:dyDescent="0.25">
      <c r="C1359" s="66"/>
      <c r="J1359" s="66"/>
      <c r="K1359" s="66"/>
    </row>
    <row r="1360" spans="3:11" x14ac:dyDescent="0.25">
      <c r="C1360" s="66"/>
      <c r="J1360" s="66"/>
      <c r="K1360" s="66"/>
    </row>
    <row r="1361" spans="3:11" x14ac:dyDescent="0.25">
      <c r="C1361" s="66"/>
      <c r="J1361" s="66"/>
      <c r="K1361" s="66"/>
    </row>
    <row r="1362" spans="3:11" x14ac:dyDescent="0.25">
      <c r="C1362" s="66"/>
      <c r="J1362" s="66"/>
      <c r="K1362" s="66"/>
    </row>
    <row r="1363" spans="3:11" x14ac:dyDescent="0.25">
      <c r="C1363" s="66"/>
      <c r="J1363" s="66"/>
      <c r="K1363" s="66"/>
    </row>
    <row r="1364" spans="3:11" x14ac:dyDescent="0.25">
      <c r="C1364" s="66"/>
      <c r="J1364" s="66"/>
      <c r="K1364" s="66"/>
    </row>
    <row r="1365" spans="3:11" x14ac:dyDescent="0.25">
      <c r="C1365" s="66"/>
      <c r="J1365" s="66"/>
      <c r="K1365" s="66"/>
    </row>
    <row r="1366" spans="3:11" x14ac:dyDescent="0.25">
      <c r="C1366" s="66"/>
      <c r="J1366" s="66"/>
      <c r="K1366" s="66"/>
    </row>
    <row r="1367" spans="3:11" x14ac:dyDescent="0.25">
      <c r="C1367" s="66"/>
      <c r="J1367" s="66"/>
      <c r="K1367" s="66"/>
    </row>
    <row r="1368" spans="3:11" x14ac:dyDescent="0.25">
      <c r="C1368" s="66"/>
      <c r="J1368" s="66"/>
      <c r="K1368" s="66"/>
    </row>
    <row r="1369" spans="3:11" x14ac:dyDescent="0.25">
      <c r="C1369" s="66"/>
      <c r="J1369" s="66"/>
      <c r="K1369" s="66"/>
    </row>
    <row r="1370" spans="3:11" x14ac:dyDescent="0.25">
      <c r="C1370" s="66"/>
      <c r="J1370" s="66"/>
      <c r="K1370" s="66"/>
    </row>
    <row r="1371" spans="3:11" x14ac:dyDescent="0.25">
      <c r="C1371" s="66"/>
      <c r="J1371" s="66"/>
      <c r="K1371" s="66"/>
    </row>
    <row r="1372" spans="3:11" x14ac:dyDescent="0.25">
      <c r="C1372" s="66"/>
      <c r="J1372" s="66"/>
      <c r="K1372" s="66"/>
    </row>
    <row r="1373" spans="3:11" x14ac:dyDescent="0.25">
      <c r="C1373" s="66"/>
      <c r="J1373" s="66"/>
      <c r="K1373" s="66"/>
    </row>
    <row r="1374" spans="3:11" x14ac:dyDescent="0.25">
      <c r="C1374" s="66"/>
      <c r="J1374" s="66"/>
      <c r="K1374" s="66"/>
    </row>
    <row r="1375" spans="3:11" x14ac:dyDescent="0.25">
      <c r="C1375" s="66"/>
      <c r="J1375" s="66"/>
      <c r="K1375" s="66"/>
    </row>
    <row r="1376" spans="3:11" x14ac:dyDescent="0.25">
      <c r="C1376" s="66"/>
      <c r="J1376" s="66"/>
      <c r="K1376" s="66"/>
    </row>
    <row r="1377" spans="3:11" x14ac:dyDescent="0.25">
      <c r="C1377" s="66"/>
      <c r="J1377" s="66"/>
      <c r="K1377" s="66"/>
    </row>
    <row r="1378" spans="3:11" x14ac:dyDescent="0.25">
      <c r="C1378" s="66"/>
      <c r="J1378" s="66"/>
      <c r="K1378" s="66"/>
    </row>
    <row r="1379" spans="3:11" x14ac:dyDescent="0.25">
      <c r="C1379" s="66"/>
      <c r="J1379" s="66"/>
      <c r="K1379" s="66"/>
    </row>
    <row r="1380" spans="3:11" x14ac:dyDescent="0.25">
      <c r="C1380" s="66"/>
      <c r="J1380" s="66"/>
      <c r="K1380" s="66"/>
    </row>
    <row r="1381" spans="3:11" x14ac:dyDescent="0.25">
      <c r="C1381" s="66"/>
      <c r="J1381" s="66"/>
      <c r="K1381" s="66"/>
    </row>
    <row r="1382" spans="3:11" x14ac:dyDescent="0.25">
      <c r="C1382" s="66"/>
      <c r="J1382" s="66"/>
      <c r="K1382" s="66"/>
    </row>
    <row r="1383" spans="3:11" x14ac:dyDescent="0.25">
      <c r="C1383" s="66"/>
      <c r="J1383" s="66"/>
      <c r="K1383" s="66"/>
    </row>
    <row r="1384" spans="3:11" x14ac:dyDescent="0.25">
      <c r="C1384" s="66"/>
      <c r="J1384" s="66"/>
      <c r="K1384" s="66"/>
    </row>
    <row r="1385" spans="3:11" x14ac:dyDescent="0.25">
      <c r="C1385" s="66"/>
      <c r="J1385" s="66"/>
      <c r="K1385" s="66"/>
    </row>
    <row r="1386" spans="3:11" x14ac:dyDescent="0.25">
      <c r="C1386" s="66"/>
      <c r="J1386" s="66"/>
      <c r="K1386" s="66"/>
    </row>
    <row r="1387" spans="3:11" x14ac:dyDescent="0.25">
      <c r="C1387" s="66"/>
      <c r="J1387" s="66"/>
      <c r="K1387" s="66"/>
    </row>
    <row r="1388" spans="3:11" x14ac:dyDescent="0.25">
      <c r="C1388" s="66"/>
      <c r="J1388" s="66"/>
      <c r="K1388" s="66"/>
    </row>
    <row r="1389" spans="3:11" x14ac:dyDescent="0.25">
      <c r="C1389" s="66"/>
      <c r="J1389" s="66"/>
      <c r="K1389" s="66"/>
    </row>
    <row r="1390" spans="3:11" x14ac:dyDescent="0.25">
      <c r="C1390" s="66"/>
      <c r="J1390" s="66"/>
      <c r="K1390" s="66"/>
    </row>
    <row r="1391" spans="3:11" x14ac:dyDescent="0.25">
      <c r="C1391" s="66"/>
      <c r="J1391" s="66"/>
      <c r="K1391" s="66"/>
    </row>
    <row r="1392" spans="3:11" x14ac:dyDescent="0.25">
      <c r="C1392" s="66"/>
      <c r="J1392" s="66"/>
      <c r="K1392" s="66"/>
    </row>
    <row r="1393" spans="3:11" x14ac:dyDescent="0.25">
      <c r="C1393" s="66"/>
      <c r="J1393" s="66"/>
      <c r="K1393" s="66"/>
    </row>
    <row r="1394" spans="3:11" x14ac:dyDescent="0.25">
      <c r="C1394" s="66"/>
      <c r="J1394" s="66"/>
      <c r="K1394" s="66"/>
    </row>
    <row r="1395" spans="3:11" x14ac:dyDescent="0.25">
      <c r="C1395" s="66"/>
      <c r="J1395" s="66"/>
      <c r="K1395" s="66"/>
    </row>
    <row r="1396" spans="3:11" x14ac:dyDescent="0.25">
      <c r="C1396" s="66"/>
      <c r="J1396" s="66"/>
      <c r="K1396" s="66"/>
    </row>
    <row r="1397" spans="3:11" x14ac:dyDescent="0.25">
      <c r="C1397" s="66"/>
      <c r="J1397" s="66"/>
      <c r="K1397" s="66"/>
    </row>
    <row r="1398" spans="3:11" x14ac:dyDescent="0.25">
      <c r="C1398" s="66"/>
      <c r="J1398" s="66"/>
      <c r="K1398" s="66"/>
    </row>
    <row r="1399" spans="3:11" x14ac:dyDescent="0.25">
      <c r="C1399" s="66"/>
      <c r="J1399" s="66"/>
      <c r="K1399" s="66"/>
    </row>
    <row r="1400" spans="3:11" x14ac:dyDescent="0.25">
      <c r="C1400" s="66"/>
      <c r="J1400" s="66"/>
      <c r="K1400" s="66"/>
    </row>
    <row r="1401" spans="3:11" x14ac:dyDescent="0.25">
      <c r="C1401" s="66"/>
      <c r="J1401" s="66"/>
      <c r="K1401" s="66"/>
    </row>
    <row r="1402" spans="3:11" x14ac:dyDescent="0.25">
      <c r="C1402" s="66"/>
      <c r="J1402" s="66"/>
      <c r="K1402" s="66"/>
    </row>
    <row r="1403" spans="3:11" x14ac:dyDescent="0.25">
      <c r="C1403" s="66"/>
      <c r="J1403" s="66"/>
      <c r="K1403" s="66"/>
    </row>
    <row r="1404" spans="3:11" x14ac:dyDescent="0.25">
      <c r="C1404" s="66"/>
      <c r="J1404" s="66"/>
      <c r="K1404" s="66"/>
    </row>
    <row r="1405" spans="3:11" x14ac:dyDescent="0.25">
      <c r="C1405" s="66"/>
      <c r="J1405" s="66"/>
      <c r="K1405" s="66"/>
    </row>
    <row r="1406" spans="3:11" x14ac:dyDescent="0.25">
      <c r="C1406" s="66"/>
      <c r="J1406" s="66"/>
      <c r="K1406" s="66"/>
    </row>
    <row r="1407" spans="3:11" x14ac:dyDescent="0.25">
      <c r="C1407" s="66"/>
      <c r="J1407" s="66"/>
      <c r="K1407" s="66"/>
    </row>
    <row r="1408" spans="3:11" x14ac:dyDescent="0.25">
      <c r="C1408" s="66"/>
      <c r="J1408" s="66"/>
      <c r="K1408" s="66"/>
    </row>
    <row r="1409" spans="3:11" x14ac:dyDescent="0.25">
      <c r="C1409" s="66"/>
      <c r="J1409" s="66"/>
      <c r="K1409" s="66"/>
    </row>
    <row r="1410" spans="3:11" x14ac:dyDescent="0.25">
      <c r="C1410" s="66"/>
      <c r="J1410" s="66"/>
      <c r="K1410" s="66"/>
    </row>
    <row r="1411" spans="3:11" x14ac:dyDescent="0.25">
      <c r="C1411" s="66"/>
      <c r="J1411" s="66"/>
      <c r="K1411" s="66"/>
    </row>
    <row r="1412" spans="3:11" x14ac:dyDescent="0.25">
      <c r="C1412" s="66"/>
      <c r="J1412" s="66"/>
      <c r="K1412" s="66"/>
    </row>
    <row r="1413" spans="3:11" x14ac:dyDescent="0.25">
      <c r="C1413" s="66"/>
      <c r="J1413" s="66"/>
      <c r="K1413" s="66"/>
    </row>
    <row r="1414" spans="3:11" x14ac:dyDescent="0.25">
      <c r="C1414" s="66"/>
      <c r="J1414" s="66"/>
      <c r="K1414" s="66"/>
    </row>
    <row r="1415" spans="3:11" x14ac:dyDescent="0.25">
      <c r="C1415" s="66"/>
      <c r="J1415" s="66"/>
      <c r="K1415" s="66"/>
    </row>
    <row r="1416" spans="3:11" x14ac:dyDescent="0.25">
      <c r="C1416" s="66"/>
      <c r="J1416" s="66"/>
      <c r="K1416" s="66"/>
    </row>
    <row r="1417" spans="3:11" x14ac:dyDescent="0.25">
      <c r="C1417" s="66"/>
      <c r="J1417" s="66"/>
      <c r="K1417" s="66"/>
    </row>
    <row r="1418" spans="3:11" x14ac:dyDescent="0.25">
      <c r="C1418" s="66"/>
      <c r="J1418" s="66"/>
      <c r="K1418" s="66"/>
    </row>
    <row r="1419" spans="3:11" x14ac:dyDescent="0.25">
      <c r="C1419" s="66"/>
      <c r="J1419" s="66"/>
      <c r="K1419" s="66"/>
    </row>
    <row r="1420" spans="3:11" x14ac:dyDescent="0.25">
      <c r="C1420" s="66"/>
      <c r="J1420" s="66"/>
      <c r="K1420" s="66"/>
    </row>
    <row r="1421" spans="3:11" x14ac:dyDescent="0.25">
      <c r="C1421" s="66"/>
      <c r="J1421" s="66"/>
      <c r="K1421" s="66"/>
    </row>
    <row r="1422" spans="3:11" x14ac:dyDescent="0.25">
      <c r="C1422" s="66"/>
      <c r="J1422" s="66"/>
      <c r="K1422" s="66"/>
    </row>
    <row r="1423" spans="3:11" x14ac:dyDescent="0.25">
      <c r="C1423" s="66"/>
      <c r="J1423" s="66"/>
      <c r="K1423" s="66"/>
    </row>
    <row r="1424" spans="3:11" x14ac:dyDescent="0.25">
      <c r="C1424" s="66"/>
      <c r="J1424" s="66"/>
      <c r="K1424" s="66"/>
    </row>
    <row r="1425" spans="3:11" x14ac:dyDescent="0.25">
      <c r="C1425" s="66"/>
      <c r="J1425" s="66"/>
      <c r="K1425" s="66"/>
    </row>
    <row r="1426" spans="3:11" x14ac:dyDescent="0.25">
      <c r="C1426" s="66"/>
      <c r="J1426" s="66"/>
      <c r="K1426" s="66"/>
    </row>
    <row r="1427" spans="3:11" x14ac:dyDescent="0.25">
      <c r="C1427" s="66"/>
      <c r="J1427" s="66"/>
      <c r="K1427" s="66"/>
    </row>
    <row r="1428" spans="3:11" x14ac:dyDescent="0.25">
      <c r="C1428" s="66"/>
      <c r="J1428" s="66"/>
      <c r="K1428" s="66"/>
    </row>
    <row r="1429" spans="3:11" x14ac:dyDescent="0.25">
      <c r="C1429" s="66"/>
      <c r="J1429" s="66"/>
      <c r="K1429" s="66"/>
    </row>
    <row r="1430" spans="3:11" x14ac:dyDescent="0.25">
      <c r="C1430" s="66"/>
      <c r="J1430" s="66"/>
      <c r="K1430" s="66"/>
    </row>
    <row r="1431" spans="3:11" x14ac:dyDescent="0.25">
      <c r="C1431" s="66"/>
      <c r="J1431" s="66"/>
      <c r="K1431" s="66"/>
    </row>
    <row r="1432" spans="3:11" x14ac:dyDescent="0.25">
      <c r="C1432" s="66"/>
      <c r="J1432" s="66"/>
      <c r="K1432" s="66"/>
    </row>
    <row r="1433" spans="3:11" x14ac:dyDescent="0.25">
      <c r="C1433" s="66"/>
      <c r="J1433" s="66"/>
      <c r="K1433" s="66"/>
    </row>
    <row r="1434" spans="3:11" x14ac:dyDescent="0.25">
      <c r="C1434" s="66"/>
      <c r="J1434" s="66"/>
      <c r="K1434" s="66"/>
    </row>
    <row r="1435" spans="3:11" x14ac:dyDescent="0.25">
      <c r="C1435" s="66"/>
      <c r="J1435" s="66"/>
      <c r="K1435" s="66"/>
    </row>
    <row r="1436" spans="3:11" x14ac:dyDescent="0.25">
      <c r="C1436" s="66"/>
      <c r="J1436" s="66"/>
      <c r="K1436" s="66"/>
    </row>
    <row r="1437" spans="3:11" x14ac:dyDescent="0.25">
      <c r="C1437" s="66"/>
      <c r="J1437" s="66"/>
      <c r="K1437" s="66"/>
    </row>
    <row r="1438" spans="3:11" x14ac:dyDescent="0.25">
      <c r="C1438" s="66"/>
      <c r="J1438" s="66"/>
      <c r="K1438" s="66"/>
    </row>
    <row r="1439" spans="3:11" x14ac:dyDescent="0.25">
      <c r="C1439" s="66"/>
      <c r="J1439" s="66"/>
      <c r="K1439" s="66"/>
    </row>
    <row r="1440" spans="3:11" x14ac:dyDescent="0.25">
      <c r="C1440" s="66"/>
      <c r="J1440" s="66"/>
      <c r="K1440" s="66"/>
    </row>
    <row r="1441" spans="3:11" x14ac:dyDescent="0.25">
      <c r="C1441" s="66"/>
      <c r="J1441" s="66"/>
      <c r="K1441" s="66"/>
    </row>
    <row r="1442" spans="3:11" x14ac:dyDescent="0.25">
      <c r="C1442" s="66"/>
      <c r="J1442" s="66"/>
      <c r="K1442" s="66"/>
    </row>
    <row r="1443" spans="3:11" x14ac:dyDescent="0.25">
      <c r="C1443" s="66"/>
      <c r="J1443" s="66"/>
      <c r="K1443" s="66"/>
    </row>
    <row r="1444" spans="3:11" x14ac:dyDescent="0.25">
      <c r="C1444" s="66"/>
      <c r="J1444" s="66"/>
      <c r="K1444" s="66"/>
    </row>
    <row r="1445" spans="3:11" x14ac:dyDescent="0.25">
      <c r="C1445" s="66"/>
      <c r="J1445" s="66"/>
      <c r="K1445" s="66"/>
    </row>
    <row r="1446" spans="3:11" x14ac:dyDescent="0.25">
      <c r="C1446" s="66"/>
      <c r="J1446" s="66"/>
      <c r="K1446" s="66"/>
    </row>
    <row r="1447" spans="3:11" x14ac:dyDescent="0.25">
      <c r="C1447" s="66"/>
      <c r="J1447" s="66"/>
      <c r="K1447" s="66"/>
    </row>
    <row r="1448" spans="3:11" x14ac:dyDescent="0.25">
      <c r="C1448" s="66"/>
      <c r="J1448" s="66"/>
      <c r="K1448" s="66"/>
    </row>
    <row r="1449" spans="3:11" x14ac:dyDescent="0.25">
      <c r="C1449" s="66"/>
      <c r="J1449" s="66"/>
      <c r="K1449" s="66"/>
    </row>
    <row r="1450" spans="3:11" x14ac:dyDescent="0.25">
      <c r="C1450" s="66"/>
      <c r="J1450" s="66"/>
      <c r="K1450" s="66"/>
    </row>
    <row r="1451" spans="3:11" x14ac:dyDescent="0.25">
      <c r="C1451" s="66"/>
      <c r="J1451" s="66"/>
      <c r="K1451" s="66"/>
    </row>
    <row r="1452" spans="3:11" x14ac:dyDescent="0.25">
      <c r="C1452" s="66"/>
      <c r="J1452" s="66"/>
      <c r="K1452" s="66"/>
    </row>
    <row r="1453" spans="3:11" x14ac:dyDescent="0.25">
      <c r="C1453" s="66"/>
      <c r="J1453" s="66"/>
      <c r="K1453" s="66"/>
    </row>
    <row r="1454" spans="3:11" x14ac:dyDescent="0.25">
      <c r="C1454" s="66"/>
      <c r="J1454" s="66"/>
      <c r="K1454" s="66"/>
    </row>
    <row r="1455" spans="3:11" x14ac:dyDescent="0.25">
      <c r="C1455" s="66"/>
      <c r="J1455" s="66"/>
      <c r="K1455" s="66"/>
    </row>
    <row r="1456" spans="3:11" x14ac:dyDescent="0.25">
      <c r="C1456" s="66"/>
      <c r="J1456" s="66"/>
      <c r="K1456" s="66"/>
    </row>
    <row r="1457" spans="3:11" x14ac:dyDescent="0.25">
      <c r="C1457" s="66"/>
      <c r="J1457" s="66"/>
      <c r="K1457" s="66"/>
    </row>
    <row r="1458" spans="3:11" x14ac:dyDescent="0.25">
      <c r="C1458" s="66"/>
      <c r="J1458" s="66"/>
      <c r="K1458" s="66"/>
    </row>
    <row r="1459" spans="3:11" x14ac:dyDescent="0.25">
      <c r="C1459" s="66"/>
      <c r="J1459" s="66"/>
      <c r="K1459" s="66"/>
    </row>
    <row r="1460" spans="3:11" x14ac:dyDescent="0.25">
      <c r="C1460" s="66"/>
      <c r="J1460" s="66"/>
      <c r="K1460" s="66"/>
    </row>
    <row r="1461" spans="3:11" x14ac:dyDescent="0.25">
      <c r="C1461" s="66"/>
      <c r="J1461" s="66"/>
      <c r="K1461" s="66"/>
    </row>
    <row r="1462" spans="3:11" x14ac:dyDescent="0.25">
      <c r="C1462" s="66"/>
      <c r="J1462" s="66"/>
      <c r="K1462" s="66"/>
    </row>
    <row r="1463" spans="3:11" x14ac:dyDescent="0.25">
      <c r="C1463" s="66"/>
      <c r="J1463" s="66"/>
      <c r="K1463" s="66"/>
    </row>
    <row r="1464" spans="3:11" x14ac:dyDescent="0.25">
      <c r="C1464" s="66"/>
      <c r="J1464" s="66"/>
      <c r="K1464" s="66"/>
    </row>
    <row r="1465" spans="3:11" x14ac:dyDescent="0.25">
      <c r="C1465" s="66"/>
      <c r="J1465" s="66"/>
      <c r="K1465" s="66"/>
    </row>
    <row r="1466" spans="3:11" x14ac:dyDescent="0.25">
      <c r="C1466" s="66"/>
      <c r="J1466" s="66"/>
      <c r="K1466" s="66"/>
    </row>
    <row r="1467" spans="3:11" x14ac:dyDescent="0.25">
      <c r="C1467" s="66"/>
      <c r="J1467" s="66"/>
      <c r="K1467" s="66"/>
    </row>
    <row r="1468" spans="3:11" x14ac:dyDescent="0.25">
      <c r="C1468" s="66"/>
      <c r="J1468" s="66"/>
      <c r="K1468" s="66"/>
    </row>
    <row r="1469" spans="3:11" x14ac:dyDescent="0.25">
      <c r="C1469" s="66"/>
      <c r="J1469" s="66"/>
      <c r="K1469" s="66"/>
    </row>
    <row r="1470" spans="3:11" x14ac:dyDescent="0.25">
      <c r="C1470" s="66"/>
      <c r="J1470" s="66"/>
      <c r="K1470" s="66"/>
    </row>
    <row r="1471" spans="3:11" x14ac:dyDescent="0.25">
      <c r="C1471" s="66"/>
      <c r="J1471" s="66"/>
      <c r="K1471" s="66"/>
    </row>
    <row r="1472" spans="3:11" x14ac:dyDescent="0.25">
      <c r="C1472" s="66"/>
      <c r="J1472" s="66"/>
      <c r="K1472" s="66"/>
    </row>
    <row r="1473" spans="3:11" x14ac:dyDescent="0.25">
      <c r="C1473" s="66"/>
      <c r="J1473" s="66"/>
      <c r="K1473" s="66"/>
    </row>
    <row r="1474" spans="3:11" x14ac:dyDescent="0.25">
      <c r="C1474" s="66"/>
      <c r="J1474" s="66"/>
      <c r="K1474" s="66"/>
    </row>
    <row r="1475" spans="3:11" x14ac:dyDescent="0.25">
      <c r="C1475" s="66"/>
      <c r="J1475" s="66"/>
      <c r="K1475" s="66"/>
    </row>
    <row r="1476" spans="3:11" x14ac:dyDescent="0.25">
      <c r="C1476" s="66"/>
      <c r="J1476" s="66"/>
      <c r="K1476" s="66"/>
    </row>
    <row r="1477" spans="3:11" x14ac:dyDescent="0.25">
      <c r="C1477" s="66"/>
      <c r="J1477" s="66"/>
      <c r="K1477" s="66"/>
    </row>
    <row r="1478" spans="3:11" x14ac:dyDescent="0.25">
      <c r="C1478" s="66"/>
      <c r="J1478" s="66"/>
      <c r="K1478" s="66"/>
    </row>
    <row r="1479" spans="3:11" x14ac:dyDescent="0.25">
      <c r="C1479" s="66"/>
      <c r="J1479" s="66"/>
      <c r="K1479" s="66"/>
    </row>
    <row r="1480" spans="3:11" x14ac:dyDescent="0.25">
      <c r="C1480" s="66"/>
      <c r="J1480" s="66"/>
      <c r="K1480" s="66"/>
    </row>
    <row r="1481" spans="3:11" x14ac:dyDescent="0.25">
      <c r="C1481" s="66"/>
      <c r="J1481" s="66"/>
      <c r="K1481" s="66"/>
    </row>
    <row r="1482" spans="3:11" x14ac:dyDescent="0.25">
      <c r="C1482" s="66"/>
      <c r="J1482" s="66"/>
      <c r="K1482" s="66"/>
    </row>
    <row r="1483" spans="3:11" x14ac:dyDescent="0.25">
      <c r="C1483" s="66"/>
      <c r="J1483" s="66"/>
      <c r="K1483" s="66"/>
    </row>
    <row r="1484" spans="3:11" x14ac:dyDescent="0.25">
      <c r="C1484" s="66"/>
      <c r="J1484" s="66"/>
      <c r="K1484" s="66"/>
    </row>
    <row r="1485" spans="3:11" x14ac:dyDescent="0.25">
      <c r="C1485" s="66"/>
      <c r="J1485" s="66"/>
      <c r="K1485" s="66"/>
    </row>
    <row r="1486" spans="3:11" x14ac:dyDescent="0.25">
      <c r="C1486" s="66"/>
      <c r="J1486" s="66"/>
      <c r="K1486" s="66"/>
    </row>
    <row r="1487" spans="3:11" x14ac:dyDescent="0.25">
      <c r="C1487" s="66"/>
      <c r="J1487" s="66"/>
      <c r="K1487" s="66"/>
    </row>
    <row r="1488" spans="3:11" x14ac:dyDescent="0.25">
      <c r="C1488" s="66"/>
      <c r="J1488" s="66"/>
      <c r="K1488" s="66"/>
    </row>
    <row r="1489" spans="3:11" x14ac:dyDescent="0.25">
      <c r="C1489" s="66"/>
      <c r="J1489" s="66"/>
      <c r="K1489" s="66"/>
    </row>
    <row r="1490" spans="3:11" x14ac:dyDescent="0.25">
      <c r="C1490" s="66"/>
      <c r="J1490" s="66"/>
      <c r="K1490" s="66"/>
    </row>
    <row r="1491" spans="3:11" x14ac:dyDescent="0.25">
      <c r="C1491" s="66"/>
      <c r="J1491" s="66"/>
      <c r="K1491" s="66"/>
    </row>
    <row r="1492" spans="3:11" x14ac:dyDescent="0.25">
      <c r="C1492" s="66"/>
      <c r="J1492" s="66"/>
      <c r="K1492" s="66"/>
    </row>
    <row r="1493" spans="3:11" x14ac:dyDescent="0.25">
      <c r="C1493" s="66"/>
      <c r="J1493" s="66"/>
      <c r="K1493" s="66"/>
    </row>
    <row r="1494" spans="3:11" x14ac:dyDescent="0.25">
      <c r="C1494" s="66"/>
      <c r="J1494" s="66"/>
      <c r="K1494" s="66"/>
    </row>
    <row r="1495" spans="3:11" x14ac:dyDescent="0.25">
      <c r="C1495" s="66"/>
      <c r="J1495" s="66"/>
      <c r="K1495" s="66"/>
    </row>
    <row r="1496" spans="3:11" x14ac:dyDescent="0.25">
      <c r="C1496" s="66"/>
      <c r="J1496" s="66"/>
      <c r="K1496" s="66"/>
    </row>
    <row r="1497" spans="3:11" x14ac:dyDescent="0.25">
      <c r="C1497" s="66"/>
      <c r="J1497" s="66"/>
      <c r="K1497" s="66"/>
    </row>
    <row r="1498" spans="3:11" x14ac:dyDescent="0.25">
      <c r="C1498" s="66"/>
      <c r="J1498" s="66"/>
      <c r="K1498" s="66"/>
    </row>
    <row r="1499" spans="3:11" x14ac:dyDescent="0.25">
      <c r="C1499" s="66"/>
      <c r="J1499" s="66"/>
      <c r="K1499" s="66"/>
    </row>
    <row r="1500" spans="3:11" x14ac:dyDescent="0.25">
      <c r="C1500" s="66"/>
      <c r="J1500" s="66"/>
      <c r="K1500" s="66"/>
    </row>
    <row r="1501" spans="3:11" x14ac:dyDescent="0.25">
      <c r="C1501" s="66"/>
      <c r="J1501" s="66"/>
      <c r="K1501" s="66"/>
    </row>
    <row r="1502" spans="3:11" x14ac:dyDescent="0.25">
      <c r="C1502" s="66"/>
      <c r="J1502" s="66"/>
      <c r="K1502" s="66"/>
    </row>
    <row r="1503" spans="3:11" x14ac:dyDescent="0.25">
      <c r="C1503" s="66"/>
      <c r="J1503" s="66"/>
      <c r="K1503" s="66"/>
    </row>
    <row r="1504" spans="3:11" x14ac:dyDescent="0.25">
      <c r="C1504" s="66"/>
      <c r="J1504" s="66"/>
      <c r="K1504" s="66"/>
    </row>
    <row r="1505" spans="3:11" x14ac:dyDescent="0.25">
      <c r="C1505" s="66"/>
      <c r="J1505" s="66"/>
      <c r="K1505" s="66"/>
    </row>
    <row r="1506" spans="3:11" x14ac:dyDescent="0.25">
      <c r="C1506" s="66"/>
      <c r="J1506" s="66"/>
      <c r="K1506" s="66"/>
    </row>
    <row r="1507" spans="3:11" x14ac:dyDescent="0.25">
      <c r="C1507" s="66"/>
      <c r="J1507" s="66"/>
      <c r="K1507" s="66"/>
    </row>
    <row r="1508" spans="3:11" x14ac:dyDescent="0.25">
      <c r="C1508" s="66"/>
      <c r="J1508" s="66"/>
      <c r="K1508" s="66"/>
    </row>
    <row r="1509" spans="3:11" x14ac:dyDescent="0.25">
      <c r="C1509" s="66"/>
      <c r="J1509" s="66"/>
      <c r="K1509" s="66"/>
    </row>
    <row r="1510" spans="3:11" x14ac:dyDescent="0.25">
      <c r="C1510" s="66"/>
      <c r="J1510" s="66"/>
      <c r="K1510" s="66"/>
    </row>
    <row r="1511" spans="3:11" x14ac:dyDescent="0.25">
      <c r="C1511" s="66"/>
      <c r="J1511" s="66"/>
      <c r="K1511" s="66"/>
    </row>
    <row r="1512" spans="3:11" x14ac:dyDescent="0.25">
      <c r="C1512" s="66"/>
      <c r="J1512" s="66"/>
      <c r="K1512" s="66"/>
    </row>
    <row r="1513" spans="3:11" x14ac:dyDescent="0.25">
      <c r="C1513" s="66"/>
      <c r="J1513" s="66"/>
      <c r="K1513" s="66"/>
    </row>
    <row r="1514" spans="3:11" x14ac:dyDescent="0.25">
      <c r="C1514" s="66"/>
      <c r="J1514" s="66"/>
      <c r="K1514" s="66"/>
    </row>
    <row r="1515" spans="3:11" x14ac:dyDescent="0.25">
      <c r="C1515" s="66"/>
      <c r="J1515" s="66"/>
      <c r="K1515" s="66"/>
    </row>
    <row r="1516" spans="3:11" x14ac:dyDescent="0.25">
      <c r="C1516" s="66"/>
      <c r="J1516" s="66"/>
      <c r="K1516" s="66"/>
    </row>
    <row r="1517" spans="3:11" x14ac:dyDescent="0.25">
      <c r="C1517" s="66"/>
      <c r="J1517" s="66"/>
      <c r="K1517" s="66"/>
    </row>
    <row r="1518" spans="3:11" x14ac:dyDescent="0.25">
      <c r="C1518" s="66"/>
      <c r="J1518" s="66"/>
      <c r="K1518" s="66"/>
    </row>
    <row r="1519" spans="3:11" x14ac:dyDescent="0.25">
      <c r="C1519" s="66"/>
      <c r="J1519" s="66"/>
      <c r="K1519" s="66"/>
    </row>
    <row r="1520" spans="3:11" x14ac:dyDescent="0.25">
      <c r="C1520" s="66"/>
      <c r="J1520" s="66"/>
      <c r="K1520" s="66"/>
    </row>
    <row r="1521" spans="3:11" x14ac:dyDescent="0.25">
      <c r="C1521" s="66"/>
      <c r="J1521" s="66"/>
      <c r="K1521" s="66"/>
    </row>
    <row r="1522" spans="3:11" x14ac:dyDescent="0.25">
      <c r="C1522" s="66"/>
      <c r="J1522" s="66"/>
      <c r="K1522" s="66"/>
    </row>
    <row r="1523" spans="3:11" x14ac:dyDescent="0.25">
      <c r="C1523" s="66"/>
      <c r="J1523" s="66"/>
      <c r="K1523" s="66"/>
    </row>
    <row r="1524" spans="3:11" x14ac:dyDescent="0.25">
      <c r="C1524" s="66"/>
      <c r="J1524" s="66"/>
      <c r="K1524" s="66"/>
    </row>
    <row r="1525" spans="3:11" x14ac:dyDescent="0.25">
      <c r="C1525" s="66"/>
      <c r="J1525" s="66"/>
      <c r="K1525" s="66"/>
    </row>
    <row r="1526" spans="3:11" x14ac:dyDescent="0.25">
      <c r="C1526" s="66"/>
      <c r="J1526" s="66"/>
      <c r="K1526" s="66"/>
    </row>
    <row r="1527" spans="3:11" x14ac:dyDescent="0.25">
      <c r="C1527" s="66"/>
      <c r="J1527" s="66"/>
      <c r="K1527" s="66"/>
    </row>
    <row r="1528" spans="3:11" x14ac:dyDescent="0.25">
      <c r="C1528" s="66"/>
      <c r="J1528" s="66"/>
      <c r="K1528" s="66"/>
    </row>
    <row r="1529" spans="3:11" x14ac:dyDescent="0.25">
      <c r="C1529" s="66"/>
      <c r="J1529" s="66"/>
      <c r="K1529" s="66"/>
    </row>
    <row r="1530" spans="3:11" x14ac:dyDescent="0.25">
      <c r="C1530" s="66"/>
      <c r="J1530" s="66"/>
      <c r="K1530" s="66"/>
    </row>
    <row r="1531" spans="3:11" x14ac:dyDescent="0.25">
      <c r="C1531" s="66"/>
      <c r="J1531" s="66"/>
      <c r="K1531" s="66"/>
    </row>
    <row r="1532" spans="3:11" x14ac:dyDescent="0.25">
      <c r="C1532" s="66"/>
      <c r="J1532" s="66"/>
      <c r="K1532" s="66"/>
    </row>
    <row r="1533" spans="3:11" x14ac:dyDescent="0.25">
      <c r="C1533" s="66"/>
      <c r="J1533" s="66"/>
      <c r="K1533" s="66"/>
    </row>
    <row r="1534" spans="3:11" x14ac:dyDescent="0.25">
      <c r="C1534" s="66"/>
      <c r="J1534" s="66"/>
      <c r="K1534" s="66"/>
    </row>
    <row r="1535" spans="3:11" x14ac:dyDescent="0.25">
      <c r="C1535" s="66"/>
      <c r="J1535" s="66"/>
      <c r="K1535" s="66"/>
    </row>
    <row r="1536" spans="3:11" x14ac:dyDescent="0.25">
      <c r="C1536" s="66"/>
      <c r="J1536" s="66"/>
      <c r="K1536" s="66"/>
    </row>
    <row r="1537" spans="3:11" x14ac:dyDescent="0.25">
      <c r="C1537" s="66"/>
      <c r="J1537" s="66"/>
      <c r="K1537" s="66"/>
    </row>
    <row r="1538" spans="3:11" x14ac:dyDescent="0.25">
      <c r="C1538" s="66"/>
      <c r="J1538" s="66"/>
      <c r="K1538" s="66"/>
    </row>
    <row r="1539" spans="3:11" x14ac:dyDescent="0.25">
      <c r="C1539" s="66"/>
      <c r="J1539" s="66"/>
      <c r="K1539" s="66"/>
    </row>
    <row r="1540" spans="3:11" x14ac:dyDescent="0.25">
      <c r="C1540" s="66"/>
      <c r="J1540" s="66"/>
      <c r="K1540" s="66"/>
    </row>
    <row r="1541" spans="3:11" x14ac:dyDescent="0.25">
      <c r="C1541" s="66"/>
      <c r="J1541" s="66"/>
      <c r="K1541" s="66"/>
    </row>
    <row r="1542" spans="3:11" x14ac:dyDescent="0.25">
      <c r="C1542" s="66"/>
      <c r="J1542" s="66"/>
      <c r="K1542" s="66"/>
    </row>
    <row r="1543" spans="3:11" x14ac:dyDescent="0.25">
      <c r="C1543" s="66"/>
      <c r="J1543" s="66"/>
      <c r="K1543" s="66"/>
    </row>
    <row r="1544" spans="3:11" x14ac:dyDescent="0.25">
      <c r="C1544" s="66"/>
      <c r="J1544" s="66"/>
      <c r="K1544" s="66"/>
    </row>
    <row r="1545" spans="3:11" x14ac:dyDescent="0.25">
      <c r="C1545" s="66"/>
      <c r="J1545" s="66"/>
      <c r="K1545" s="66"/>
    </row>
    <row r="1546" spans="3:11" x14ac:dyDescent="0.25">
      <c r="C1546" s="66"/>
      <c r="J1546" s="66"/>
      <c r="K1546" s="66"/>
    </row>
    <row r="1547" spans="3:11" x14ac:dyDescent="0.25">
      <c r="C1547" s="66"/>
      <c r="J1547" s="66"/>
      <c r="K1547" s="66"/>
    </row>
    <row r="1548" spans="3:11" x14ac:dyDescent="0.25">
      <c r="C1548" s="66"/>
      <c r="J1548" s="66"/>
      <c r="K1548" s="66"/>
    </row>
    <row r="1549" spans="3:11" x14ac:dyDescent="0.25">
      <c r="C1549" s="66"/>
      <c r="J1549" s="66"/>
      <c r="K1549" s="66"/>
    </row>
    <row r="1550" spans="3:11" x14ac:dyDescent="0.25">
      <c r="C1550" s="66"/>
      <c r="J1550" s="66"/>
      <c r="K1550" s="66"/>
    </row>
    <row r="1551" spans="3:11" x14ac:dyDescent="0.25">
      <c r="C1551" s="66"/>
      <c r="J1551" s="66"/>
      <c r="K1551" s="66"/>
    </row>
    <row r="1552" spans="3:11" x14ac:dyDescent="0.25">
      <c r="C1552" s="66"/>
      <c r="J1552" s="66"/>
      <c r="K1552" s="66"/>
    </row>
    <row r="1553" spans="3:11" x14ac:dyDescent="0.25">
      <c r="C1553" s="66"/>
      <c r="J1553" s="66"/>
      <c r="K1553" s="66"/>
    </row>
    <row r="1554" spans="3:11" x14ac:dyDescent="0.25">
      <c r="C1554" s="66"/>
      <c r="J1554" s="66"/>
      <c r="K1554" s="66"/>
    </row>
    <row r="1555" spans="3:11" x14ac:dyDescent="0.25">
      <c r="C1555" s="66"/>
      <c r="J1555" s="66"/>
      <c r="K1555" s="66"/>
    </row>
    <row r="1556" spans="3:11" x14ac:dyDescent="0.25">
      <c r="C1556" s="66"/>
      <c r="J1556" s="66"/>
      <c r="K1556" s="66"/>
    </row>
    <row r="1557" spans="3:11" x14ac:dyDescent="0.25">
      <c r="C1557" s="66"/>
      <c r="J1557" s="66"/>
      <c r="K1557" s="66"/>
    </row>
    <row r="1558" spans="3:11" x14ac:dyDescent="0.25">
      <c r="C1558" s="66"/>
      <c r="J1558" s="66"/>
      <c r="K1558" s="66"/>
    </row>
    <row r="1559" spans="3:11" x14ac:dyDescent="0.25">
      <c r="C1559" s="66"/>
      <c r="J1559" s="66"/>
      <c r="K1559" s="66"/>
    </row>
    <row r="1560" spans="3:11" x14ac:dyDescent="0.25">
      <c r="C1560" s="66"/>
      <c r="J1560" s="66"/>
      <c r="K1560" s="66"/>
    </row>
    <row r="1561" spans="3:11" x14ac:dyDescent="0.25">
      <c r="C1561" s="66"/>
      <c r="J1561" s="66"/>
      <c r="K1561" s="66"/>
    </row>
    <row r="1562" spans="3:11" x14ac:dyDescent="0.25">
      <c r="C1562" s="66"/>
      <c r="J1562" s="66"/>
      <c r="K1562" s="66"/>
    </row>
    <row r="1563" spans="3:11" x14ac:dyDescent="0.25">
      <c r="C1563" s="66"/>
      <c r="J1563" s="66"/>
      <c r="K1563" s="66"/>
    </row>
    <row r="1564" spans="3:11" x14ac:dyDescent="0.25">
      <c r="C1564" s="66"/>
      <c r="J1564" s="66"/>
      <c r="K1564" s="66"/>
    </row>
    <row r="1565" spans="3:11" x14ac:dyDescent="0.25">
      <c r="C1565" s="66"/>
      <c r="J1565" s="66"/>
      <c r="K1565" s="66"/>
    </row>
    <row r="1566" spans="3:11" x14ac:dyDescent="0.25">
      <c r="C1566" s="66"/>
      <c r="J1566" s="66"/>
      <c r="K1566" s="66"/>
    </row>
    <row r="1567" spans="3:11" x14ac:dyDescent="0.25">
      <c r="C1567" s="66"/>
      <c r="J1567" s="66"/>
      <c r="K1567" s="66"/>
    </row>
    <row r="1568" spans="3:11" x14ac:dyDescent="0.25">
      <c r="C1568" s="66"/>
      <c r="J1568" s="66"/>
      <c r="K1568" s="66"/>
    </row>
    <row r="1569" spans="3:11" x14ac:dyDescent="0.25">
      <c r="C1569" s="66"/>
      <c r="J1569" s="66"/>
      <c r="K1569" s="66"/>
    </row>
    <row r="1570" spans="3:11" x14ac:dyDescent="0.25">
      <c r="C1570" s="66"/>
      <c r="J1570" s="66"/>
      <c r="K1570" s="66"/>
    </row>
    <row r="1571" spans="3:11" x14ac:dyDescent="0.25">
      <c r="C1571" s="66"/>
      <c r="J1571" s="66"/>
      <c r="K1571" s="66"/>
    </row>
    <row r="1572" spans="3:11" x14ac:dyDescent="0.25">
      <c r="C1572" s="66"/>
      <c r="J1572" s="66"/>
      <c r="K1572" s="66"/>
    </row>
    <row r="1573" spans="3:11" x14ac:dyDescent="0.25">
      <c r="C1573" s="66"/>
      <c r="J1573" s="66"/>
      <c r="K1573" s="66"/>
    </row>
    <row r="1574" spans="3:11" x14ac:dyDescent="0.25">
      <c r="C1574" s="66"/>
      <c r="J1574" s="66"/>
      <c r="K1574" s="66"/>
    </row>
    <row r="1575" spans="3:11" x14ac:dyDescent="0.25">
      <c r="C1575" s="66"/>
      <c r="J1575" s="66"/>
      <c r="K1575" s="66"/>
    </row>
    <row r="1576" spans="3:11" x14ac:dyDescent="0.25">
      <c r="C1576" s="66"/>
      <c r="J1576" s="66"/>
      <c r="K1576" s="66"/>
    </row>
    <row r="1577" spans="3:11" x14ac:dyDescent="0.25">
      <c r="C1577" s="66"/>
      <c r="J1577" s="66"/>
      <c r="K1577" s="66"/>
    </row>
    <row r="1578" spans="3:11" x14ac:dyDescent="0.25">
      <c r="C1578" s="66"/>
      <c r="J1578" s="66"/>
      <c r="K1578" s="66"/>
    </row>
    <row r="1579" spans="3:11" x14ac:dyDescent="0.25">
      <c r="C1579" s="66"/>
      <c r="J1579" s="66"/>
      <c r="K1579" s="66"/>
    </row>
    <row r="1580" spans="3:11" x14ac:dyDescent="0.25">
      <c r="C1580" s="66"/>
      <c r="J1580" s="66"/>
      <c r="K1580" s="66"/>
    </row>
    <row r="1581" spans="3:11" x14ac:dyDescent="0.25">
      <c r="C1581" s="66"/>
      <c r="J1581" s="66"/>
      <c r="K1581" s="66"/>
    </row>
    <row r="1582" spans="3:11" x14ac:dyDescent="0.25">
      <c r="C1582" s="66"/>
      <c r="J1582" s="66"/>
      <c r="K1582" s="66"/>
    </row>
    <row r="1583" spans="3:11" x14ac:dyDescent="0.25">
      <c r="C1583" s="66"/>
      <c r="J1583" s="66"/>
      <c r="K1583" s="66"/>
    </row>
    <row r="1584" spans="3:11" x14ac:dyDescent="0.25">
      <c r="C1584" s="66"/>
      <c r="J1584" s="66"/>
      <c r="K1584" s="66"/>
    </row>
    <row r="1585" spans="3:11" x14ac:dyDescent="0.25">
      <c r="C1585" s="66"/>
      <c r="J1585" s="66"/>
      <c r="K1585" s="66"/>
    </row>
    <row r="1586" spans="3:11" x14ac:dyDescent="0.25">
      <c r="C1586" s="66"/>
      <c r="J1586" s="66"/>
      <c r="K1586" s="66"/>
    </row>
    <row r="1587" spans="3:11" x14ac:dyDescent="0.25">
      <c r="C1587" s="66"/>
      <c r="J1587" s="66"/>
      <c r="K1587" s="66"/>
    </row>
    <row r="1588" spans="3:11" x14ac:dyDescent="0.25">
      <c r="C1588" s="66"/>
      <c r="J1588" s="66"/>
      <c r="K1588" s="66"/>
    </row>
    <row r="1589" spans="3:11" x14ac:dyDescent="0.25">
      <c r="C1589" s="66"/>
      <c r="J1589" s="66"/>
      <c r="K1589" s="66"/>
    </row>
    <row r="1590" spans="3:11" x14ac:dyDescent="0.25">
      <c r="C1590" s="66"/>
      <c r="J1590" s="66"/>
      <c r="K1590" s="66"/>
    </row>
    <row r="1591" spans="3:11" x14ac:dyDescent="0.25">
      <c r="C1591" s="66"/>
      <c r="J1591" s="66"/>
      <c r="K1591" s="66"/>
    </row>
    <row r="1592" spans="3:11" x14ac:dyDescent="0.25">
      <c r="C1592" s="66"/>
      <c r="J1592" s="66"/>
      <c r="K1592" s="66"/>
    </row>
    <row r="1593" spans="3:11" x14ac:dyDescent="0.25">
      <c r="C1593" s="66"/>
      <c r="J1593" s="66"/>
      <c r="K1593" s="66"/>
    </row>
    <row r="1594" spans="3:11" x14ac:dyDescent="0.25">
      <c r="C1594" s="66"/>
      <c r="J1594" s="66"/>
      <c r="K1594" s="66"/>
    </row>
    <row r="1595" spans="3:11" x14ac:dyDescent="0.25">
      <c r="C1595" s="66"/>
      <c r="J1595" s="66"/>
      <c r="K1595" s="66"/>
    </row>
    <row r="1596" spans="3:11" x14ac:dyDescent="0.25">
      <c r="C1596" s="66"/>
      <c r="J1596" s="66"/>
      <c r="K1596" s="66"/>
    </row>
    <row r="1597" spans="3:11" x14ac:dyDescent="0.25">
      <c r="C1597" s="66"/>
      <c r="J1597" s="66"/>
      <c r="K1597" s="66"/>
    </row>
    <row r="1598" spans="3:11" x14ac:dyDescent="0.25">
      <c r="C1598" s="66"/>
      <c r="J1598" s="66"/>
      <c r="K1598" s="66"/>
    </row>
    <row r="1599" spans="3:11" x14ac:dyDescent="0.25">
      <c r="C1599" s="66"/>
      <c r="J1599" s="66"/>
      <c r="K1599" s="66"/>
    </row>
    <row r="1600" spans="3:11" x14ac:dyDescent="0.25">
      <c r="C1600" s="66"/>
      <c r="J1600" s="66"/>
      <c r="K1600" s="66"/>
    </row>
    <row r="1601" spans="3:11" x14ac:dyDescent="0.25">
      <c r="C1601" s="66"/>
      <c r="J1601" s="66"/>
      <c r="K1601" s="66"/>
    </row>
    <row r="1602" spans="3:11" x14ac:dyDescent="0.25">
      <c r="C1602" s="66"/>
      <c r="J1602" s="66"/>
      <c r="K1602" s="66"/>
    </row>
    <row r="1603" spans="3:11" x14ac:dyDescent="0.25">
      <c r="C1603" s="66"/>
      <c r="J1603" s="66"/>
      <c r="K1603" s="66"/>
    </row>
    <row r="1604" spans="3:11" x14ac:dyDescent="0.25">
      <c r="C1604" s="66"/>
      <c r="J1604" s="66"/>
      <c r="K1604" s="66"/>
    </row>
    <row r="1605" spans="3:11" x14ac:dyDescent="0.25">
      <c r="C1605" s="66"/>
      <c r="J1605" s="66"/>
      <c r="K1605" s="66"/>
    </row>
    <row r="1606" spans="3:11" x14ac:dyDescent="0.25">
      <c r="C1606" s="66"/>
      <c r="J1606" s="66"/>
      <c r="K1606" s="66"/>
    </row>
    <row r="1607" spans="3:11" x14ac:dyDescent="0.25">
      <c r="C1607" s="66"/>
      <c r="J1607" s="66"/>
      <c r="K1607" s="66"/>
    </row>
    <row r="1608" spans="3:11" x14ac:dyDescent="0.25">
      <c r="C1608" s="66"/>
      <c r="J1608" s="66"/>
      <c r="K1608" s="66"/>
    </row>
    <row r="1609" spans="3:11" x14ac:dyDescent="0.25">
      <c r="C1609" s="66"/>
      <c r="J1609" s="66"/>
      <c r="K1609" s="66"/>
    </row>
    <row r="1610" spans="3:11" x14ac:dyDescent="0.25">
      <c r="C1610" s="66"/>
      <c r="J1610" s="66"/>
      <c r="K1610" s="66"/>
    </row>
    <row r="1611" spans="3:11" x14ac:dyDescent="0.25">
      <c r="C1611" s="66"/>
      <c r="J1611" s="66"/>
      <c r="K1611" s="66"/>
    </row>
    <row r="1612" spans="3:11" x14ac:dyDescent="0.25">
      <c r="C1612" s="66"/>
      <c r="J1612" s="66"/>
      <c r="K1612" s="66"/>
    </row>
    <row r="1613" spans="3:11" x14ac:dyDescent="0.25">
      <c r="C1613" s="66"/>
      <c r="J1613" s="66"/>
      <c r="K1613" s="66"/>
    </row>
    <row r="1614" spans="3:11" x14ac:dyDescent="0.25">
      <c r="C1614" s="66"/>
      <c r="J1614" s="66"/>
      <c r="K1614" s="66"/>
    </row>
    <row r="1615" spans="3:11" x14ac:dyDescent="0.25">
      <c r="C1615" s="66"/>
      <c r="J1615" s="66"/>
      <c r="K1615" s="66"/>
    </row>
    <row r="1616" spans="3:11" x14ac:dyDescent="0.25">
      <c r="C1616" s="66"/>
      <c r="J1616" s="66"/>
      <c r="K1616" s="66"/>
    </row>
    <row r="1617" spans="3:11" x14ac:dyDescent="0.25">
      <c r="C1617" s="66"/>
      <c r="J1617" s="66"/>
      <c r="K1617" s="66"/>
    </row>
    <row r="1618" spans="3:11" x14ac:dyDescent="0.25">
      <c r="C1618" s="66"/>
      <c r="J1618" s="66"/>
      <c r="K1618" s="66"/>
    </row>
    <row r="1619" spans="3:11" x14ac:dyDescent="0.25">
      <c r="C1619" s="66"/>
      <c r="J1619" s="66"/>
      <c r="K1619" s="66"/>
    </row>
    <row r="1620" spans="3:11" x14ac:dyDescent="0.25">
      <c r="C1620" s="66"/>
      <c r="J1620" s="66"/>
      <c r="K1620" s="66"/>
    </row>
    <row r="1621" spans="3:11" x14ac:dyDescent="0.25">
      <c r="C1621" s="66"/>
      <c r="J1621" s="66"/>
      <c r="K1621" s="66"/>
    </row>
    <row r="1622" spans="3:11" x14ac:dyDescent="0.25">
      <c r="C1622" s="66"/>
      <c r="J1622" s="66"/>
      <c r="K1622" s="66"/>
    </row>
    <row r="1623" spans="3:11" x14ac:dyDescent="0.25">
      <c r="C1623" s="66"/>
      <c r="J1623" s="66"/>
      <c r="K1623" s="66"/>
    </row>
    <row r="1624" spans="3:11" x14ac:dyDescent="0.25">
      <c r="C1624" s="66"/>
      <c r="J1624" s="66"/>
      <c r="K1624" s="66"/>
    </row>
    <row r="1625" spans="3:11" x14ac:dyDescent="0.25">
      <c r="C1625" s="66"/>
      <c r="J1625" s="66"/>
      <c r="K1625" s="66"/>
    </row>
    <row r="1626" spans="3:11" x14ac:dyDescent="0.25">
      <c r="C1626" s="66"/>
      <c r="J1626" s="66"/>
      <c r="K1626" s="66"/>
    </row>
    <row r="1627" spans="3:11" x14ac:dyDescent="0.25">
      <c r="C1627" s="66"/>
      <c r="J1627" s="66"/>
      <c r="K1627" s="66"/>
    </row>
    <row r="1628" spans="3:11" x14ac:dyDescent="0.25">
      <c r="C1628" s="66"/>
      <c r="J1628" s="66"/>
      <c r="K1628" s="66"/>
    </row>
    <row r="1629" spans="3:11" x14ac:dyDescent="0.25">
      <c r="C1629" s="66"/>
      <c r="J1629" s="66"/>
      <c r="K1629" s="66"/>
    </row>
    <row r="1630" spans="3:11" x14ac:dyDescent="0.25">
      <c r="C1630" s="66"/>
      <c r="J1630" s="66"/>
      <c r="K1630" s="66"/>
    </row>
    <row r="1631" spans="3:11" x14ac:dyDescent="0.25">
      <c r="C1631" s="66"/>
      <c r="J1631" s="66"/>
      <c r="K1631" s="66"/>
    </row>
    <row r="1632" spans="3:11" x14ac:dyDescent="0.25">
      <c r="C1632" s="66"/>
      <c r="J1632" s="66"/>
      <c r="K1632" s="66"/>
    </row>
    <row r="1633" spans="3:11" x14ac:dyDescent="0.25">
      <c r="C1633" s="66"/>
      <c r="J1633" s="66"/>
      <c r="K1633" s="66"/>
    </row>
    <row r="1634" spans="3:11" x14ac:dyDescent="0.25">
      <c r="C1634" s="66"/>
      <c r="J1634" s="66"/>
      <c r="K1634" s="66"/>
    </row>
    <row r="1635" spans="3:11" x14ac:dyDescent="0.25">
      <c r="C1635" s="66"/>
      <c r="J1635" s="66"/>
      <c r="K1635" s="66"/>
    </row>
    <row r="1636" spans="3:11" x14ac:dyDescent="0.25">
      <c r="C1636" s="66"/>
      <c r="J1636" s="66"/>
      <c r="K1636" s="66"/>
    </row>
    <row r="1637" spans="3:11" x14ac:dyDescent="0.25">
      <c r="C1637" s="66"/>
      <c r="J1637" s="66"/>
      <c r="K1637" s="66"/>
    </row>
    <row r="1638" spans="3:11" x14ac:dyDescent="0.25">
      <c r="C1638" s="66"/>
      <c r="J1638" s="66"/>
      <c r="K1638" s="66"/>
    </row>
    <row r="1639" spans="3:11" x14ac:dyDescent="0.25">
      <c r="C1639" s="66"/>
      <c r="J1639" s="66"/>
      <c r="K1639" s="66"/>
    </row>
    <row r="1640" spans="3:11" x14ac:dyDescent="0.25">
      <c r="C1640" s="66"/>
      <c r="J1640" s="66"/>
      <c r="K1640" s="66"/>
    </row>
    <row r="1641" spans="3:11" x14ac:dyDescent="0.25">
      <c r="C1641" s="66"/>
      <c r="J1641" s="66"/>
      <c r="K1641" s="66"/>
    </row>
    <row r="1642" spans="3:11" x14ac:dyDescent="0.25">
      <c r="C1642" s="66"/>
      <c r="J1642" s="66"/>
      <c r="K1642" s="66"/>
    </row>
    <row r="1643" spans="3:11" x14ac:dyDescent="0.25">
      <c r="C1643" s="66"/>
      <c r="J1643" s="66"/>
      <c r="K1643" s="66"/>
    </row>
    <row r="1644" spans="3:11" x14ac:dyDescent="0.25">
      <c r="C1644" s="66"/>
      <c r="J1644" s="66"/>
      <c r="K1644" s="66"/>
    </row>
    <row r="1645" spans="3:11" x14ac:dyDescent="0.25">
      <c r="C1645" s="66"/>
      <c r="J1645" s="66"/>
      <c r="K1645" s="66"/>
    </row>
    <row r="1646" spans="3:11" x14ac:dyDescent="0.25">
      <c r="C1646" s="66"/>
      <c r="J1646" s="66"/>
      <c r="K1646" s="66"/>
    </row>
    <row r="1647" spans="3:11" x14ac:dyDescent="0.25">
      <c r="C1647" s="66"/>
      <c r="J1647" s="66"/>
      <c r="K1647" s="66"/>
    </row>
    <row r="1648" spans="3:11" x14ac:dyDescent="0.25">
      <c r="C1648" s="66"/>
      <c r="J1648" s="66"/>
      <c r="K1648" s="66"/>
    </row>
    <row r="1649" spans="3:11" x14ac:dyDescent="0.25">
      <c r="C1649" s="66"/>
      <c r="J1649" s="66"/>
      <c r="K1649" s="66"/>
    </row>
    <row r="1650" spans="3:11" x14ac:dyDescent="0.25">
      <c r="C1650" s="66"/>
      <c r="J1650" s="66"/>
      <c r="K1650" s="66"/>
    </row>
    <row r="1651" spans="3:11" x14ac:dyDescent="0.25">
      <c r="C1651" s="66"/>
      <c r="J1651" s="66"/>
      <c r="K1651" s="66"/>
    </row>
    <row r="1652" spans="3:11" x14ac:dyDescent="0.25">
      <c r="C1652" s="66"/>
      <c r="J1652" s="66"/>
      <c r="K1652" s="66"/>
    </row>
    <row r="1653" spans="3:11" x14ac:dyDescent="0.25">
      <c r="C1653" s="66"/>
      <c r="J1653" s="66"/>
      <c r="K1653" s="66"/>
    </row>
    <row r="1654" spans="3:11" x14ac:dyDescent="0.25">
      <c r="C1654" s="66"/>
      <c r="J1654" s="66"/>
      <c r="K1654" s="66"/>
    </row>
    <row r="1655" spans="3:11" x14ac:dyDescent="0.25">
      <c r="C1655" s="66"/>
      <c r="J1655" s="66"/>
      <c r="K1655" s="66"/>
    </row>
    <row r="1656" spans="3:11" x14ac:dyDescent="0.25">
      <c r="C1656" s="66"/>
      <c r="J1656" s="66"/>
      <c r="K1656" s="66"/>
    </row>
    <row r="1657" spans="3:11" x14ac:dyDescent="0.25">
      <c r="C1657" s="66"/>
      <c r="J1657" s="66"/>
      <c r="K1657" s="66"/>
    </row>
    <row r="1658" spans="3:11" x14ac:dyDescent="0.25">
      <c r="C1658" s="66"/>
      <c r="J1658" s="66"/>
      <c r="K1658" s="66"/>
    </row>
    <row r="1659" spans="3:11" x14ac:dyDescent="0.25">
      <c r="C1659" s="66"/>
      <c r="J1659" s="66"/>
      <c r="K1659" s="66"/>
    </row>
    <row r="1660" spans="3:11" x14ac:dyDescent="0.25">
      <c r="C1660" s="66"/>
      <c r="J1660" s="66"/>
      <c r="K1660" s="66"/>
    </row>
    <row r="1661" spans="3:11" x14ac:dyDescent="0.25">
      <c r="C1661" s="66"/>
      <c r="J1661" s="66"/>
      <c r="K1661" s="66"/>
    </row>
    <row r="1662" spans="3:11" x14ac:dyDescent="0.25">
      <c r="C1662" s="66"/>
      <c r="J1662" s="66"/>
      <c r="K1662" s="66"/>
    </row>
    <row r="1663" spans="3:11" x14ac:dyDescent="0.25">
      <c r="C1663" s="66"/>
      <c r="J1663" s="66"/>
      <c r="K1663" s="66"/>
    </row>
    <row r="1664" spans="3:11" x14ac:dyDescent="0.25">
      <c r="C1664" s="66"/>
      <c r="J1664" s="66"/>
      <c r="K1664" s="66"/>
    </row>
    <row r="1665" spans="3:11" x14ac:dyDescent="0.25">
      <c r="C1665" s="66"/>
      <c r="J1665" s="66"/>
      <c r="K1665" s="66"/>
    </row>
    <row r="1666" spans="3:11" x14ac:dyDescent="0.25">
      <c r="C1666" s="66"/>
      <c r="J1666" s="66"/>
      <c r="K1666" s="66"/>
    </row>
    <row r="1667" spans="3:11" x14ac:dyDescent="0.25">
      <c r="C1667" s="66"/>
      <c r="J1667" s="66"/>
      <c r="K1667" s="66"/>
    </row>
    <row r="1668" spans="3:11" x14ac:dyDescent="0.25">
      <c r="C1668" s="66"/>
      <c r="J1668" s="66"/>
      <c r="K1668" s="66"/>
    </row>
    <row r="1669" spans="3:11" x14ac:dyDescent="0.25">
      <c r="C1669" s="66"/>
      <c r="J1669" s="66"/>
      <c r="K1669" s="66"/>
    </row>
    <row r="1670" spans="3:11" x14ac:dyDescent="0.25">
      <c r="C1670" s="66"/>
      <c r="J1670" s="66"/>
      <c r="K1670" s="66"/>
    </row>
    <row r="1671" spans="3:11" x14ac:dyDescent="0.25">
      <c r="C1671" s="66"/>
      <c r="J1671" s="66"/>
      <c r="K1671" s="66"/>
    </row>
    <row r="1672" spans="3:11" x14ac:dyDescent="0.25">
      <c r="C1672" s="66"/>
      <c r="J1672" s="66"/>
      <c r="K1672" s="66"/>
    </row>
    <row r="1673" spans="3:11" x14ac:dyDescent="0.25">
      <c r="C1673" s="66"/>
      <c r="J1673" s="66"/>
      <c r="K1673" s="66"/>
    </row>
    <row r="1674" spans="3:11" x14ac:dyDescent="0.25">
      <c r="C1674" s="66"/>
      <c r="J1674" s="66"/>
      <c r="K1674" s="66"/>
    </row>
    <row r="1675" spans="3:11" x14ac:dyDescent="0.25">
      <c r="C1675" s="66"/>
      <c r="J1675" s="66"/>
      <c r="K1675" s="66"/>
    </row>
    <row r="1676" spans="3:11" x14ac:dyDescent="0.25">
      <c r="C1676" s="66"/>
      <c r="J1676" s="66"/>
      <c r="K1676" s="66"/>
    </row>
    <row r="1677" spans="3:11" x14ac:dyDescent="0.25">
      <c r="C1677" s="66"/>
      <c r="J1677" s="66"/>
      <c r="K1677" s="66"/>
    </row>
    <row r="1678" spans="3:11" x14ac:dyDescent="0.25">
      <c r="C1678" s="66"/>
      <c r="J1678" s="66"/>
      <c r="K1678" s="66"/>
    </row>
    <row r="1679" spans="3:11" x14ac:dyDescent="0.25">
      <c r="C1679" s="66"/>
      <c r="J1679" s="66"/>
      <c r="K1679" s="66"/>
    </row>
    <row r="1680" spans="3:11" x14ac:dyDescent="0.25">
      <c r="C1680" s="66"/>
      <c r="J1680" s="66"/>
      <c r="K1680" s="66"/>
    </row>
    <row r="1681" spans="3:11" x14ac:dyDescent="0.25">
      <c r="C1681" s="66"/>
      <c r="J1681" s="66"/>
      <c r="K1681" s="66"/>
    </row>
    <row r="1682" spans="3:11" x14ac:dyDescent="0.25">
      <c r="C1682" s="66"/>
      <c r="J1682" s="66"/>
      <c r="K1682" s="66"/>
    </row>
    <row r="1683" spans="3:11" x14ac:dyDescent="0.25">
      <c r="C1683" s="66"/>
      <c r="J1683" s="66"/>
      <c r="K1683" s="66"/>
    </row>
    <row r="1684" spans="3:11" x14ac:dyDescent="0.25">
      <c r="C1684" s="66"/>
      <c r="J1684" s="66"/>
      <c r="K1684" s="66"/>
    </row>
    <row r="1685" spans="3:11" x14ac:dyDescent="0.25">
      <c r="C1685" s="66"/>
      <c r="J1685" s="66"/>
      <c r="K1685" s="66"/>
    </row>
    <row r="1686" spans="3:11" x14ac:dyDescent="0.25">
      <c r="C1686" s="66"/>
      <c r="J1686" s="66"/>
      <c r="K1686" s="66"/>
    </row>
    <row r="1687" spans="3:11" x14ac:dyDescent="0.25">
      <c r="C1687" s="66"/>
      <c r="J1687" s="66"/>
      <c r="K1687" s="66"/>
    </row>
    <row r="1688" spans="3:11" x14ac:dyDescent="0.25">
      <c r="C1688" s="66"/>
      <c r="J1688" s="66"/>
      <c r="K1688" s="66"/>
    </row>
    <row r="1689" spans="3:11" x14ac:dyDescent="0.25">
      <c r="C1689" s="66"/>
      <c r="J1689" s="66"/>
      <c r="K1689" s="66"/>
    </row>
    <row r="1690" spans="3:11" x14ac:dyDescent="0.25">
      <c r="C1690" s="66"/>
      <c r="J1690" s="66"/>
      <c r="K1690" s="66"/>
    </row>
    <row r="1691" spans="3:11" x14ac:dyDescent="0.25">
      <c r="C1691" s="66"/>
      <c r="J1691" s="66"/>
      <c r="K1691" s="66"/>
    </row>
    <row r="1692" spans="3:11" x14ac:dyDescent="0.25">
      <c r="C1692" s="66"/>
      <c r="J1692" s="66"/>
      <c r="K1692" s="66"/>
    </row>
    <row r="1693" spans="3:11" x14ac:dyDescent="0.25">
      <c r="C1693" s="66"/>
      <c r="J1693" s="66"/>
      <c r="K1693" s="66"/>
    </row>
    <row r="1694" spans="3:11" x14ac:dyDescent="0.25">
      <c r="C1694" s="66"/>
      <c r="J1694" s="66"/>
      <c r="K1694" s="66"/>
    </row>
    <row r="1695" spans="3:11" x14ac:dyDescent="0.25">
      <c r="C1695" s="66"/>
      <c r="J1695" s="66"/>
      <c r="K1695" s="66"/>
    </row>
    <row r="1696" spans="3:11" x14ac:dyDescent="0.25">
      <c r="C1696" s="66"/>
      <c r="J1696" s="66"/>
      <c r="K1696" s="66"/>
    </row>
    <row r="1697" spans="3:11" x14ac:dyDescent="0.25">
      <c r="C1697" s="66"/>
      <c r="J1697" s="66"/>
      <c r="K1697" s="66"/>
    </row>
    <row r="1698" spans="3:11" x14ac:dyDescent="0.25">
      <c r="C1698" s="66"/>
      <c r="J1698" s="66"/>
      <c r="K1698" s="66"/>
    </row>
    <row r="1699" spans="3:11" x14ac:dyDescent="0.25">
      <c r="C1699" s="66"/>
      <c r="J1699" s="66"/>
      <c r="K1699" s="66"/>
    </row>
    <row r="1700" spans="3:11" x14ac:dyDescent="0.25">
      <c r="C1700" s="66"/>
      <c r="J1700" s="66"/>
      <c r="K1700" s="66"/>
    </row>
    <row r="1701" spans="3:11" x14ac:dyDescent="0.25">
      <c r="C1701" s="66"/>
      <c r="J1701" s="66"/>
      <c r="K1701" s="66"/>
    </row>
    <row r="1702" spans="3:11" x14ac:dyDescent="0.25">
      <c r="C1702" s="66"/>
      <c r="J1702" s="66"/>
      <c r="K1702" s="66"/>
    </row>
    <row r="1703" spans="3:11" x14ac:dyDescent="0.25">
      <c r="C1703" s="66"/>
      <c r="J1703" s="66"/>
      <c r="K1703" s="66"/>
    </row>
    <row r="1704" spans="3:11" x14ac:dyDescent="0.25">
      <c r="C1704" s="66"/>
      <c r="J1704" s="66"/>
      <c r="K1704" s="66"/>
    </row>
    <row r="1705" spans="3:11" x14ac:dyDescent="0.25">
      <c r="C1705" s="66"/>
      <c r="J1705" s="66"/>
      <c r="K1705" s="66"/>
    </row>
    <row r="1706" spans="3:11" x14ac:dyDescent="0.25">
      <c r="C1706" s="66"/>
      <c r="J1706" s="66"/>
      <c r="K1706" s="66"/>
    </row>
    <row r="1707" spans="3:11" x14ac:dyDescent="0.25">
      <c r="C1707" s="66"/>
      <c r="J1707" s="66"/>
      <c r="K1707" s="66"/>
    </row>
    <row r="1708" spans="3:11" x14ac:dyDescent="0.25">
      <c r="C1708" s="66"/>
      <c r="J1708" s="66"/>
      <c r="K1708" s="66"/>
    </row>
    <row r="1709" spans="3:11" x14ac:dyDescent="0.25">
      <c r="C1709" s="66"/>
      <c r="J1709" s="66"/>
      <c r="K1709" s="66"/>
    </row>
    <row r="1710" spans="3:11" x14ac:dyDescent="0.25">
      <c r="C1710" s="66"/>
      <c r="J1710" s="66"/>
      <c r="K1710" s="66"/>
    </row>
    <row r="1711" spans="3:11" x14ac:dyDescent="0.25">
      <c r="C1711" s="66"/>
      <c r="J1711" s="66"/>
      <c r="K1711" s="66"/>
    </row>
    <row r="1712" spans="3:11" x14ac:dyDescent="0.25">
      <c r="C1712" s="66"/>
      <c r="J1712" s="66"/>
      <c r="K1712" s="66"/>
    </row>
    <row r="1713" spans="3:11" x14ac:dyDescent="0.25">
      <c r="C1713" s="66"/>
      <c r="J1713" s="66"/>
      <c r="K1713" s="66"/>
    </row>
    <row r="1714" spans="3:11" x14ac:dyDescent="0.25">
      <c r="C1714" s="66"/>
      <c r="J1714" s="66"/>
      <c r="K1714" s="66"/>
    </row>
    <row r="1715" spans="3:11" x14ac:dyDescent="0.25">
      <c r="C1715" s="66"/>
      <c r="J1715" s="66"/>
      <c r="K1715" s="66"/>
    </row>
    <row r="1716" spans="3:11" x14ac:dyDescent="0.25">
      <c r="C1716" s="66"/>
      <c r="J1716" s="66"/>
      <c r="K1716" s="66"/>
    </row>
    <row r="1717" spans="3:11" x14ac:dyDescent="0.25">
      <c r="C1717" s="66"/>
      <c r="J1717" s="66"/>
      <c r="K1717" s="66"/>
    </row>
    <row r="1718" spans="3:11" x14ac:dyDescent="0.25">
      <c r="C1718" s="66"/>
      <c r="J1718" s="66"/>
      <c r="K1718" s="66"/>
    </row>
    <row r="1719" spans="3:11" x14ac:dyDescent="0.25">
      <c r="C1719" s="66"/>
      <c r="J1719" s="66"/>
      <c r="K1719" s="66"/>
    </row>
    <row r="1720" spans="3:11" x14ac:dyDescent="0.25">
      <c r="C1720" s="66"/>
      <c r="J1720" s="66"/>
      <c r="K1720" s="66"/>
    </row>
    <row r="1721" spans="3:11" x14ac:dyDescent="0.25">
      <c r="C1721" s="66"/>
      <c r="J1721" s="66"/>
      <c r="K1721" s="66"/>
    </row>
    <row r="1722" spans="3:11" x14ac:dyDescent="0.25">
      <c r="C1722" s="66"/>
      <c r="J1722" s="66"/>
      <c r="K1722" s="66"/>
    </row>
    <row r="1723" spans="3:11" x14ac:dyDescent="0.25">
      <c r="C1723" s="66"/>
      <c r="J1723" s="66"/>
      <c r="K1723" s="66"/>
    </row>
    <row r="1724" spans="3:11" x14ac:dyDescent="0.25">
      <c r="C1724" s="66"/>
      <c r="J1724" s="66"/>
      <c r="K1724" s="66"/>
    </row>
    <row r="1725" spans="3:11" x14ac:dyDescent="0.25">
      <c r="C1725" s="66"/>
      <c r="J1725" s="66"/>
      <c r="K1725" s="66"/>
    </row>
    <row r="1726" spans="3:11" x14ac:dyDescent="0.25">
      <c r="C1726" s="66"/>
      <c r="J1726" s="66"/>
      <c r="K1726" s="66"/>
    </row>
    <row r="1727" spans="3:11" x14ac:dyDescent="0.25">
      <c r="C1727" s="66"/>
      <c r="J1727" s="66"/>
      <c r="K1727" s="66"/>
    </row>
    <row r="1728" spans="3:11" x14ac:dyDescent="0.25">
      <c r="C1728" s="66"/>
      <c r="J1728" s="66"/>
      <c r="K1728" s="66"/>
    </row>
    <row r="1729" spans="3:11" x14ac:dyDescent="0.25">
      <c r="C1729" s="66"/>
      <c r="J1729" s="66"/>
      <c r="K1729" s="66"/>
    </row>
    <row r="1730" spans="3:11" x14ac:dyDescent="0.25">
      <c r="C1730" s="66"/>
      <c r="J1730" s="66"/>
      <c r="K1730" s="66"/>
    </row>
    <row r="1731" spans="3:11" x14ac:dyDescent="0.25">
      <c r="C1731" s="66"/>
      <c r="J1731" s="66"/>
      <c r="K1731" s="66"/>
    </row>
    <row r="1732" spans="3:11" x14ac:dyDescent="0.25">
      <c r="C1732" s="66"/>
      <c r="J1732" s="66"/>
      <c r="K1732" s="66"/>
    </row>
    <row r="1733" spans="3:11" x14ac:dyDescent="0.25">
      <c r="C1733" s="66"/>
      <c r="J1733" s="66"/>
      <c r="K1733" s="66"/>
    </row>
    <row r="1734" spans="3:11" x14ac:dyDescent="0.25">
      <c r="C1734" s="66"/>
      <c r="J1734" s="66"/>
      <c r="K1734" s="66"/>
    </row>
    <row r="1735" spans="3:11" x14ac:dyDescent="0.25">
      <c r="C1735" s="66"/>
      <c r="J1735" s="66"/>
      <c r="K1735" s="66"/>
    </row>
    <row r="1736" spans="3:11" x14ac:dyDescent="0.25">
      <c r="C1736" s="66"/>
      <c r="J1736" s="66"/>
      <c r="K1736" s="66"/>
    </row>
    <row r="1737" spans="3:11" x14ac:dyDescent="0.25">
      <c r="C1737" s="66"/>
      <c r="J1737" s="66"/>
      <c r="K1737" s="66"/>
    </row>
    <row r="1738" spans="3:11" x14ac:dyDescent="0.25">
      <c r="C1738" s="66"/>
      <c r="J1738" s="66"/>
      <c r="K1738" s="66"/>
    </row>
    <row r="1739" spans="3:11" x14ac:dyDescent="0.25">
      <c r="C1739" s="66"/>
      <c r="J1739" s="66"/>
      <c r="K1739" s="66"/>
    </row>
    <row r="1740" spans="3:11" x14ac:dyDescent="0.25">
      <c r="C1740" s="66"/>
      <c r="J1740" s="66"/>
      <c r="K1740" s="66"/>
    </row>
    <row r="1741" spans="3:11" x14ac:dyDescent="0.25">
      <c r="C1741" s="66"/>
      <c r="J1741" s="66"/>
      <c r="K1741" s="66"/>
    </row>
    <row r="1742" spans="3:11" x14ac:dyDescent="0.25">
      <c r="C1742" s="66"/>
      <c r="J1742" s="66"/>
      <c r="K1742" s="66"/>
    </row>
    <row r="1743" spans="3:11" x14ac:dyDescent="0.25">
      <c r="C1743" s="66"/>
      <c r="J1743" s="66"/>
      <c r="K1743" s="66"/>
    </row>
    <row r="1744" spans="3:11" x14ac:dyDescent="0.25">
      <c r="C1744" s="66"/>
      <c r="J1744" s="66"/>
      <c r="K1744" s="66"/>
    </row>
    <row r="1745" spans="3:11" x14ac:dyDescent="0.25">
      <c r="C1745" s="66"/>
      <c r="J1745" s="66"/>
      <c r="K1745" s="66"/>
    </row>
    <row r="1746" spans="3:11" x14ac:dyDescent="0.25">
      <c r="C1746" s="66"/>
      <c r="J1746" s="66"/>
      <c r="K1746" s="66"/>
    </row>
    <row r="1747" spans="3:11" x14ac:dyDescent="0.25">
      <c r="C1747" s="66"/>
      <c r="J1747" s="66"/>
      <c r="K1747" s="66"/>
    </row>
    <row r="1748" spans="3:11" x14ac:dyDescent="0.25">
      <c r="C1748" s="66"/>
      <c r="J1748" s="66"/>
      <c r="K1748" s="66"/>
    </row>
    <row r="1749" spans="3:11" x14ac:dyDescent="0.25">
      <c r="C1749" s="66"/>
      <c r="J1749" s="66"/>
      <c r="K1749" s="66"/>
    </row>
    <row r="1750" spans="3:11" x14ac:dyDescent="0.25">
      <c r="C1750" s="66"/>
      <c r="J1750" s="66"/>
      <c r="K1750" s="66"/>
    </row>
    <row r="1751" spans="3:11" x14ac:dyDescent="0.25">
      <c r="C1751" s="66"/>
      <c r="J1751" s="66"/>
      <c r="K1751" s="66"/>
    </row>
    <row r="1752" spans="3:11" x14ac:dyDescent="0.25">
      <c r="C1752" s="66"/>
      <c r="J1752" s="66"/>
      <c r="K1752" s="66"/>
    </row>
    <row r="1753" spans="3:11" x14ac:dyDescent="0.25">
      <c r="C1753" s="66"/>
      <c r="J1753" s="66"/>
      <c r="K1753" s="66"/>
    </row>
    <row r="1754" spans="3:11" x14ac:dyDescent="0.25">
      <c r="C1754" s="66"/>
      <c r="J1754" s="66"/>
      <c r="K1754" s="66"/>
    </row>
    <row r="1755" spans="3:11" x14ac:dyDescent="0.25">
      <c r="C1755" s="66"/>
      <c r="J1755" s="66"/>
      <c r="K1755" s="66"/>
    </row>
    <row r="1756" spans="3:11" x14ac:dyDescent="0.25">
      <c r="C1756" s="66"/>
      <c r="J1756" s="66"/>
      <c r="K1756" s="66"/>
    </row>
    <row r="1757" spans="3:11" x14ac:dyDescent="0.25">
      <c r="C1757" s="66"/>
      <c r="J1757" s="66"/>
      <c r="K1757" s="66"/>
    </row>
    <row r="1758" spans="3:11" x14ac:dyDescent="0.25">
      <c r="C1758" s="66"/>
      <c r="J1758" s="66"/>
      <c r="K1758" s="66"/>
    </row>
    <row r="1759" spans="3:11" x14ac:dyDescent="0.25">
      <c r="C1759" s="66"/>
      <c r="J1759" s="66"/>
      <c r="K1759" s="66"/>
    </row>
    <row r="1760" spans="3:11" x14ac:dyDescent="0.25">
      <c r="C1760" s="66"/>
      <c r="J1760" s="66"/>
      <c r="K1760" s="66"/>
    </row>
    <row r="1761" spans="3:11" x14ac:dyDescent="0.25">
      <c r="C1761" s="66"/>
      <c r="J1761" s="66"/>
      <c r="K1761" s="66"/>
    </row>
    <row r="1762" spans="3:11" x14ac:dyDescent="0.25">
      <c r="C1762" s="66"/>
      <c r="J1762" s="66"/>
      <c r="K1762" s="66"/>
    </row>
    <row r="1763" spans="3:11" x14ac:dyDescent="0.25">
      <c r="C1763" s="66"/>
      <c r="J1763" s="66"/>
      <c r="K1763" s="66"/>
    </row>
    <row r="1764" spans="3:11" x14ac:dyDescent="0.25">
      <c r="C1764" s="66"/>
      <c r="J1764" s="66"/>
      <c r="K1764" s="66"/>
    </row>
    <row r="1765" spans="3:11" x14ac:dyDescent="0.25">
      <c r="C1765" s="66"/>
      <c r="J1765" s="66"/>
      <c r="K1765" s="66"/>
    </row>
    <row r="1766" spans="3:11" x14ac:dyDescent="0.25">
      <c r="C1766" s="66"/>
      <c r="J1766" s="66"/>
      <c r="K1766" s="66"/>
    </row>
    <row r="1767" spans="3:11" x14ac:dyDescent="0.25">
      <c r="C1767" s="66"/>
      <c r="J1767" s="66"/>
      <c r="K1767" s="66"/>
    </row>
    <row r="1768" spans="3:11" x14ac:dyDescent="0.25">
      <c r="C1768" s="66"/>
      <c r="J1768" s="66"/>
      <c r="K1768" s="66"/>
    </row>
    <row r="1769" spans="3:11" x14ac:dyDescent="0.25">
      <c r="C1769" s="66"/>
      <c r="J1769" s="66"/>
      <c r="K1769" s="66"/>
    </row>
    <row r="1770" spans="3:11" x14ac:dyDescent="0.25">
      <c r="C1770" s="66"/>
      <c r="J1770" s="66"/>
      <c r="K1770" s="66"/>
    </row>
    <row r="1771" spans="3:11" x14ac:dyDescent="0.25">
      <c r="C1771" s="66"/>
      <c r="J1771" s="66"/>
      <c r="K1771" s="66"/>
    </row>
    <row r="1772" spans="3:11" x14ac:dyDescent="0.25">
      <c r="C1772" s="66"/>
      <c r="J1772" s="66"/>
      <c r="K1772" s="66"/>
    </row>
    <row r="1773" spans="3:11" x14ac:dyDescent="0.25">
      <c r="C1773" s="66"/>
      <c r="J1773" s="66"/>
      <c r="K1773" s="66"/>
    </row>
    <row r="1774" spans="3:11" x14ac:dyDescent="0.25">
      <c r="C1774" s="66"/>
      <c r="J1774" s="66"/>
      <c r="K1774" s="66"/>
    </row>
    <row r="1775" spans="3:11" x14ac:dyDescent="0.25">
      <c r="C1775" s="66"/>
      <c r="J1775" s="66"/>
      <c r="K1775" s="66"/>
    </row>
    <row r="1776" spans="3:11" x14ac:dyDescent="0.25">
      <c r="C1776" s="66"/>
      <c r="J1776" s="66"/>
      <c r="K1776" s="66"/>
    </row>
    <row r="1777" spans="3:11" x14ac:dyDescent="0.25">
      <c r="C1777" s="66"/>
      <c r="J1777" s="66"/>
      <c r="K1777" s="66"/>
    </row>
    <row r="1778" spans="3:11" x14ac:dyDescent="0.25">
      <c r="C1778" s="66"/>
      <c r="J1778" s="66"/>
      <c r="K1778" s="66"/>
    </row>
    <row r="1779" spans="3:11" x14ac:dyDescent="0.25">
      <c r="C1779" s="66"/>
      <c r="J1779" s="66"/>
      <c r="K1779" s="66"/>
    </row>
    <row r="1780" spans="3:11" x14ac:dyDescent="0.25">
      <c r="C1780" s="66"/>
      <c r="J1780" s="66"/>
      <c r="K1780" s="66"/>
    </row>
    <row r="1781" spans="3:11" x14ac:dyDescent="0.25">
      <c r="C1781" s="66"/>
      <c r="J1781" s="66"/>
      <c r="K1781" s="66"/>
    </row>
    <row r="1782" spans="3:11" x14ac:dyDescent="0.25">
      <c r="C1782" s="66"/>
      <c r="J1782" s="66"/>
      <c r="K1782" s="66"/>
    </row>
    <row r="1783" spans="3:11" x14ac:dyDescent="0.25">
      <c r="C1783" s="66"/>
      <c r="J1783" s="66"/>
      <c r="K1783" s="66"/>
    </row>
    <row r="1784" spans="3:11" x14ac:dyDescent="0.25">
      <c r="C1784" s="66"/>
      <c r="J1784" s="66"/>
      <c r="K1784" s="66"/>
    </row>
    <row r="1785" spans="3:11" x14ac:dyDescent="0.25">
      <c r="C1785" s="66"/>
      <c r="J1785" s="66"/>
      <c r="K1785" s="66"/>
    </row>
    <row r="1786" spans="3:11" x14ac:dyDescent="0.25">
      <c r="C1786" s="66"/>
      <c r="J1786" s="66"/>
      <c r="K1786" s="66"/>
    </row>
    <row r="1787" spans="3:11" x14ac:dyDescent="0.25">
      <c r="C1787" s="66"/>
      <c r="J1787" s="66"/>
      <c r="K1787" s="66"/>
    </row>
    <row r="1788" spans="3:11" x14ac:dyDescent="0.25">
      <c r="C1788" s="66"/>
      <c r="J1788" s="66"/>
      <c r="K1788" s="66"/>
    </row>
    <row r="1789" spans="3:11" x14ac:dyDescent="0.25">
      <c r="C1789" s="66"/>
      <c r="J1789" s="66"/>
      <c r="K1789" s="66"/>
    </row>
    <row r="1790" spans="3:11" x14ac:dyDescent="0.25">
      <c r="C1790" s="66"/>
      <c r="J1790" s="66"/>
      <c r="K1790" s="66"/>
    </row>
    <row r="1791" spans="3:11" x14ac:dyDescent="0.25">
      <c r="C1791" s="66"/>
      <c r="J1791" s="66"/>
      <c r="K1791" s="66"/>
    </row>
    <row r="1792" spans="3:11" x14ac:dyDescent="0.25">
      <c r="C1792" s="66"/>
      <c r="J1792" s="66"/>
      <c r="K1792" s="66"/>
    </row>
    <row r="1793" spans="3:11" x14ac:dyDescent="0.25">
      <c r="C1793" s="66"/>
      <c r="J1793" s="66"/>
      <c r="K1793" s="66"/>
    </row>
    <row r="1794" spans="3:11" x14ac:dyDescent="0.25">
      <c r="C1794" s="66"/>
      <c r="J1794" s="66"/>
      <c r="K1794" s="66"/>
    </row>
    <row r="1795" spans="3:11" x14ac:dyDescent="0.25">
      <c r="C1795" s="66"/>
      <c r="J1795" s="66"/>
      <c r="K1795" s="66"/>
    </row>
    <row r="1796" spans="3:11" x14ac:dyDescent="0.25">
      <c r="C1796" s="66"/>
      <c r="J1796" s="66"/>
      <c r="K1796" s="66"/>
    </row>
    <row r="1797" spans="3:11" x14ac:dyDescent="0.25">
      <c r="C1797" s="66"/>
      <c r="J1797" s="66"/>
      <c r="K1797" s="66"/>
    </row>
    <row r="1798" spans="3:11" x14ac:dyDescent="0.25">
      <c r="C1798" s="66"/>
      <c r="J1798" s="66"/>
      <c r="K1798" s="66"/>
    </row>
    <row r="1799" spans="3:11" x14ac:dyDescent="0.25">
      <c r="C1799" s="66"/>
      <c r="J1799" s="66"/>
      <c r="K1799" s="66"/>
    </row>
    <row r="1800" spans="3:11" x14ac:dyDescent="0.25">
      <c r="C1800" s="66"/>
      <c r="J1800" s="66"/>
      <c r="K1800" s="66"/>
    </row>
    <row r="1801" spans="3:11" x14ac:dyDescent="0.25">
      <c r="C1801" s="66"/>
      <c r="J1801" s="66"/>
      <c r="K1801" s="66"/>
    </row>
    <row r="1802" spans="3:11" x14ac:dyDescent="0.25">
      <c r="C1802" s="66"/>
      <c r="J1802" s="66"/>
      <c r="K1802" s="66"/>
    </row>
    <row r="1803" spans="3:11" x14ac:dyDescent="0.25">
      <c r="C1803" s="66"/>
      <c r="J1803" s="66"/>
      <c r="K1803" s="66"/>
    </row>
    <row r="1804" spans="3:11" x14ac:dyDescent="0.25">
      <c r="C1804" s="66"/>
      <c r="J1804" s="66"/>
      <c r="K1804" s="66"/>
    </row>
    <row r="1805" spans="3:11" x14ac:dyDescent="0.25">
      <c r="C1805" s="66"/>
      <c r="J1805" s="66"/>
      <c r="K1805" s="66"/>
    </row>
    <row r="1806" spans="3:11" x14ac:dyDescent="0.25">
      <c r="C1806" s="66"/>
      <c r="J1806" s="66"/>
      <c r="K1806" s="66"/>
    </row>
    <row r="1807" spans="3:11" x14ac:dyDescent="0.25">
      <c r="C1807" s="66"/>
      <c r="J1807" s="66"/>
      <c r="K1807" s="66"/>
    </row>
    <row r="1808" spans="3:11" x14ac:dyDescent="0.25">
      <c r="C1808" s="66"/>
      <c r="J1808" s="66"/>
      <c r="K1808" s="66"/>
    </row>
    <row r="1809" spans="3:11" x14ac:dyDescent="0.25">
      <c r="C1809" s="66"/>
      <c r="J1809" s="66"/>
      <c r="K1809" s="66"/>
    </row>
    <row r="1810" spans="3:11" x14ac:dyDescent="0.25">
      <c r="C1810" s="66"/>
      <c r="J1810" s="66"/>
      <c r="K1810" s="66"/>
    </row>
    <row r="1811" spans="3:11" x14ac:dyDescent="0.25">
      <c r="C1811" s="66"/>
      <c r="J1811" s="66"/>
      <c r="K1811" s="66"/>
    </row>
    <row r="1812" spans="3:11" x14ac:dyDescent="0.25">
      <c r="C1812" s="66"/>
      <c r="J1812" s="66"/>
      <c r="K1812" s="66"/>
    </row>
    <row r="1813" spans="3:11" x14ac:dyDescent="0.25">
      <c r="C1813" s="66"/>
      <c r="J1813" s="66"/>
      <c r="K1813" s="66"/>
    </row>
    <row r="1814" spans="3:11" x14ac:dyDescent="0.25">
      <c r="C1814" s="66"/>
      <c r="J1814" s="66"/>
      <c r="K1814" s="66"/>
    </row>
    <row r="1815" spans="3:11" x14ac:dyDescent="0.25">
      <c r="C1815" s="66"/>
      <c r="J1815" s="66"/>
      <c r="K1815" s="66"/>
    </row>
    <row r="1816" spans="3:11" x14ac:dyDescent="0.25">
      <c r="C1816" s="66"/>
      <c r="J1816" s="66"/>
      <c r="K1816" s="66"/>
    </row>
    <row r="1817" spans="3:11" x14ac:dyDescent="0.25">
      <c r="C1817" s="66"/>
      <c r="J1817" s="66"/>
      <c r="K1817" s="66"/>
    </row>
    <row r="1818" spans="3:11" x14ac:dyDescent="0.25">
      <c r="C1818" s="66"/>
      <c r="J1818" s="66"/>
      <c r="K1818" s="66"/>
    </row>
    <row r="1819" spans="3:11" x14ac:dyDescent="0.25">
      <c r="C1819" s="66"/>
      <c r="J1819" s="66"/>
      <c r="K1819" s="66"/>
    </row>
    <row r="1820" spans="3:11" x14ac:dyDescent="0.25">
      <c r="C1820" s="66"/>
      <c r="J1820" s="66"/>
      <c r="K1820" s="66"/>
    </row>
    <row r="1821" spans="3:11" x14ac:dyDescent="0.25">
      <c r="C1821" s="66"/>
      <c r="J1821" s="66"/>
      <c r="K1821" s="66"/>
    </row>
    <row r="1822" spans="3:11" x14ac:dyDescent="0.25">
      <c r="C1822" s="66"/>
      <c r="J1822" s="66"/>
      <c r="K1822" s="66"/>
    </row>
    <row r="1823" spans="3:11" x14ac:dyDescent="0.25">
      <c r="C1823" s="66"/>
      <c r="J1823" s="66"/>
      <c r="K1823" s="66"/>
    </row>
    <row r="1824" spans="3:11" x14ac:dyDescent="0.25">
      <c r="C1824" s="66"/>
      <c r="J1824" s="66"/>
      <c r="K1824" s="66"/>
    </row>
    <row r="1825" spans="3:11" x14ac:dyDescent="0.25">
      <c r="C1825" s="66"/>
      <c r="J1825" s="66"/>
      <c r="K1825" s="66"/>
    </row>
    <row r="1826" spans="3:11" x14ac:dyDescent="0.25">
      <c r="C1826" s="66"/>
      <c r="J1826" s="66"/>
      <c r="K1826" s="66"/>
    </row>
    <row r="1827" spans="3:11" x14ac:dyDescent="0.25">
      <c r="C1827" s="66"/>
      <c r="J1827" s="66"/>
      <c r="K1827" s="66"/>
    </row>
    <row r="1828" spans="3:11" x14ac:dyDescent="0.25">
      <c r="C1828" s="66"/>
      <c r="J1828" s="66"/>
      <c r="K1828" s="66"/>
    </row>
    <row r="1829" spans="3:11" x14ac:dyDescent="0.25">
      <c r="C1829" s="66"/>
      <c r="J1829" s="66"/>
      <c r="K1829" s="66"/>
    </row>
    <row r="1830" spans="3:11" x14ac:dyDescent="0.25">
      <c r="C1830" s="66"/>
      <c r="J1830" s="66"/>
      <c r="K1830" s="66"/>
    </row>
    <row r="1831" spans="3:11" x14ac:dyDescent="0.25">
      <c r="C1831" s="66"/>
      <c r="J1831" s="66"/>
      <c r="K1831" s="66"/>
    </row>
    <row r="1832" spans="3:11" x14ac:dyDescent="0.25">
      <c r="C1832" s="66"/>
      <c r="J1832" s="66"/>
      <c r="K1832" s="66"/>
    </row>
    <row r="1833" spans="3:11" x14ac:dyDescent="0.25">
      <c r="C1833" s="66"/>
      <c r="J1833" s="66"/>
      <c r="K1833" s="66"/>
    </row>
    <row r="1834" spans="3:11" x14ac:dyDescent="0.25">
      <c r="C1834" s="66"/>
      <c r="J1834" s="66"/>
      <c r="K1834" s="66"/>
    </row>
    <row r="1835" spans="3:11" x14ac:dyDescent="0.25">
      <c r="C1835" s="66"/>
      <c r="J1835" s="66"/>
      <c r="K1835" s="66"/>
    </row>
    <row r="1836" spans="3:11" x14ac:dyDescent="0.25">
      <c r="C1836" s="66"/>
      <c r="J1836" s="66"/>
      <c r="K1836" s="66"/>
    </row>
    <row r="1837" spans="3:11" x14ac:dyDescent="0.25">
      <c r="C1837" s="66"/>
      <c r="J1837" s="66"/>
      <c r="K1837" s="66"/>
    </row>
    <row r="1838" spans="3:11" x14ac:dyDescent="0.25">
      <c r="C1838" s="66"/>
      <c r="J1838" s="66"/>
      <c r="K1838" s="66"/>
    </row>
    <row r="1839" spans="3:11" x14ac:dyDescent="0.25">
      <c r="C1839" s="66"/>
      <c r="J1839" s="66"/>
      <c r="K1839" s="66"/>
    </row>
    <row r="1840" spans="3:11" x14ac:dyDescent="0.25">
      <c r="C1840" s="66"/>
      <c r="J1840" s="66"/>
      <c r="K1840" s="66"/>
    </row>
    <row r="1841" spans="3:11" x14ac:dyDescent="0.25">
      <c r="C1841" s="66"/>
      <c r="J1841" s="66"/>
      <c r="K1841" s="66"/>
    </row>
    <row r="1842" spans="3:11" x14ac:dyDescent="0.25">
      <c r="C1842" s="66"/>
      <c r="J1842" s="66"/>
      <c r="K1842" s="66"/>
    </row>
    <row r="1843" spans="3:11" x14ac:dyDescent="0.25">
      <c r="C1843" s="66"/>
      <c r="J1843" s="66"/>
      <c r="K1843" s="66"/>
    </row>
    <row r="1844" spans="3:11" x14ac:dyDescent="0.25">
      <c r="C1844" s="66"/>
      <c r="J1844" s="66"/>
      <c r="K1844" s="66"/>
    </row>
    <row r="1845" spans="3:11" x14ac:dyDescent="0.25">
      <c r="C1845" s="66"/>
      <c r="J1845" s="66"/>
      <c r="K1845" s="66"/>
    </row>
    <row r="1846" spans="3:11" x14ac:dyDescent="0.25">
      <c r="C1846" s="66"/>
      <c r="J1846" s="66"/>
      <c r="K1846" s="66"/>
    </row>
    <row r="1847" spans="3:11" x14ac:dyDescent="0.25">
      <c r="C1847" s="66"/>
      <c r="J1847" s="66"/>
      <c r="K1847" s="66"/>
    </row>
    <row r="1848" spans="3:11" x14ac:dyDescent="0.25">
      <c r="C1848" s="66"/>
      <c r="J1848" s="66"/>
      <c r="K1848" s="66"/>
    </row>
    <row r="1849" spans="3:11" x14ac:dyDescent="0.25">
      <c r="C1849" s="66"/>
      <c r="J1849" s="66"/>
      <c r="K1849" s="66"/>
    </row>
    <row r="1850" spans="3:11" x14ac:dyDescent="0.25">
      <c r="C1850" s="66"/>
      <c r="J1850" s="66"/>
      <c r="K1850" s="66"/>
    </row>
    <row r="1851" spans="3:11" x14ac:dyDescent="0.25">
      <c r="C1851" s="66"/>
      <c r="J1851" s="66"/>
      <c r="K1851" s="66"/>
    </row>
    <row r="1852" spans="3:11" x14ac:dyDescent="0.25">
      <c r="C1852" s="66"/>
      <c r="J1852" s="66"/>
      <c r="K1852" s="66"/>
    </row>
    <row r="1853" spans="3:11" x14ac:dyDescent="0.25">
      <c r="C1853" s="66"/>
      <c r="J1853" s="66"/>
      <c r="K1853" s="66"/>
    </row>
    <row r="1854" spans="3:11" x14ac:dyDescent="0.25">
      <c r="C1854" s="66"/>
      <c r="J1854" s="66"/>
      <c r="K1854" s="66"/>
    </row>
    <row r="1855" spans="3:11" x14ac:dyDescent="0.25">
      <c r="C1855" s="66"/>
      <c r="J1855" s="66"/>
      <c r="K1855" s="66"/>
    </row>
    <row r="1856" spans="3:11" x14ac:dyDescent="0.25">
      <c r="C1856" s="66"/>
      <c r="J1856" s="66"/>
      <c r="K1856" s="66"/>
    </row>
    <row r="1857" spans="3:11" x14ac:dyDescent="0.25">
      <c r="C1857" s="66"/>
      <c r="J1857" s="66"/>
      <c r="K1857" s="66"/>
    </row>
    <row r="1858" spans="3:11" x14ac:dyDescent="0.25">
      <c r="C1858" s="66"/>
      <c r="J1858" s="66"/>
      <c r="K1858" s="66"/>
    </row>
    <row r="1859" spans="3:11" x14ac:dyDescent="0.25">
      <c r="C1859" s="66"/>
      <c r="J1859" s="66"/>
      <c r="K1859" s="66"/>
    </row>
    <row r="1860" spans="3:11" x14ac:dyDescent="0.25">
      <c r="C1860" s="66"/>
      <c r="J1860" s="66"/>
      <c r="K1860" s="66"/>
    </row>
    <row r="1861" spans="3:11" x14ac:dyDescent="0.25">
      <c r="C1861" s="66"/>
      <c r="J1861" s="66"/>
      <c r="K1861" s="66"/>
    </row>
    <row r="1862" spans="3:11" x14ac:dyDescent="0.25">
      <c r="C1862" s="66"/>
      <c r="J1862" s="66"/>
      <c r="K1862" s="66"/>
    </row>
    <row r="1863" spans="3:11" x14ac:dyDescent="0.25">
      <c r="C1863" s="66"/>
      <c r="J1863" s="66"/>
      <c r="K1863" s="66"/>
    </row>
    <row r="1864" spans="3:11" x14ac:dyDescent="0.25">
      <c r="C1864" s="66"/>
      <c r="J1864" s="66"/>
      <c r="K1864" s="66"/>
    </row>
    <row r="1865" spans="3:11" x14ac:dyDescent="0.25">
      <c r="C1865" s="66"/>
      <c r="J1865" s="66"/>
      <c r="K1865" s="66"/>
    </row>
    <row r="1866" spans="3:11" x14ac:dyDescent="0.25">
      <c r="C1866" s="66"/>
      <c r="J1866" s="66"/>
      <c r="K1866" s="66"/>
    </row>
    <row r="1867" spans="3:11" x14ac:dyDescent="0.25">
      <c r="C1867" s="66"/>
      <c r="J1867" s="66"/>
      <c r="K1867" s="66"/>
    </row>
    <row r="1868" spans="3:11" x14ac:dyDescent="0.25">
      <c r="C1868" s="66"/>
      <c r="J1868" s="66"/>
      <c r="K1868" s="66"/>
    </row>
    <row r="1869" spans="3:11" x14ac:dyDescent="0.25">
      <c r="C1869" s="66"/>
      <c r="J1869" s="66"/>
      <c r="K1869" s="66"/>
    </row>
    <row r="1870" spans="3:11" x14ac:dyDescent="0.25">
      <c r="C1870" s="66"/>
      <c r="J1870" s="66"/>
      <c r="K1870" s="66"/>
    </row>
    <row r="1871" spans="3:11" x14ac:dyDescent="0.25">
      <c r="C1871" s="66"/>
      <c r="J1871" s="66"/>
      <c r="K1871" s="66"/>
    </row>
    <row r="1872" spans="3:11" x14ac:dyDescent="0.25">
      <c r="C1872" s="66"/>
      <c r="J1872" s="66"/>
      <c r="K1872" s="66"/>
    </row>
    <row r="1873" spans="3:11" x14ac:dyDescent="0.25">
      <c r="C1873" s="66"/>
      <c r="J1873" s="66"/>
      <c r="K1873" s="66"/>
    </row>
    <row r="1874" spans="3:11" x14ac:dyDescent="0.25">
      <c r="C1874" s="66"/>
      <c r="J1874" s="66"/>
      <c r="K1874" s="66"/>
    </row>
    <row r="1875" spans="3:11" x14ac:dyDescent="0.25">
      <c r="C1875" s="66"/>
      <c r="J1875" s="66"/>
      <c r="K1875" s="66"/>
    </row>
    <row r="1876" spans="3:11" x14ac:dyDescent="0.25">
      <c r="C1876" s="66"/>
      <c r="J1876" s="66"/>
      <c r="K1876" s="66"/>
    </row>
    <row r="1877" spans="3:11" x14ac:dyDescent="0.25">
      <c r="C1877" s="66"/>
      <c r="J1877" s="66"/>
      <c r="K1877" s="66"/>
    </row>
    <row r="1878" spans="3:11" x14ac:dyDescent="0.25">
      <c r="C1878" s="66"/>
      <c r="J1878" s="66"/>
      <c r="K1878" s="66"/>
    </row>
    <row r="1879" spans="3:11" x14ac:dyDescent="0.25">
      <c r="C1879" s="66"/>
      <c r="J1879" s="66"/>
      <c r="K1879" s="66"/>
    </row>
    <row r="1880" spans="3:11" x14ac:dyDescent="0.25">
      <c r="C1880" s="66"/>
      <c r="J1880" s="66"/>
      <c r="K1880" s="66"/>
    </row>
    <row r="1881" spans="3:11" x14ac:dyDescent="0.25">
      <c r="C1881" s="66"/>
      <c r="J1881" s="66"/>
      <c r="K1881" s="66"/>
    </row>
    <row r="1882" spans="3:11" x14ac:dyDescent="0.25">
      <c r="C1882" s="66"/>
      <c r="J1882" s="66"/>
      <c r="K1882" s="66"/>
    </row>
    <row r="1883" spans="3:11" x14ac:dyDescent="0.25">
      <c r="C1883" s="66"/>
      <c r="J1883" s="66"/>
      <c r="K1883" s="66"/>
    </row>
    <row r="1884" spans="3:11" x14ac:dyDescent="0.25">
      <c r="C1884" s="66"/>
      <c r="J1884" s="66"/>
      <c r="K1884" s="66"/>
    </row>
    <row r="1885" spans="3:11" x14ac:dyDescent="0.25">
      <c r="C1885" s="66"/>
      <c r="J1885" s="66"/>
      <c r="K1885" s="66"/>
    </row>
    <row r="1886" spans="3:11" x14ac:dyDescent="0.25">
      <c r="C1886" s="66"/>
      <c r="J1886" s="66"/>
      <c r="K1886" s="66"/>
    </row>
    <row r="1887" spans="3:11" x14ac:dyDescent="0.25">
      <c r="C1887" s="66"/>
      <c r="J1887" s="66"/>
      <c r="K1887" s="66"/>
    </row>
    <row r="1888" spans="3:11" x14ac:dyDescent="0.25">
      <c r="C1888" s="66"/>
      <c r="J1888" s="66"/>
      <c r="K1888" s="66"/>
    </row>
    <row r="1889" spans="3:11" x14ac:dyDescent="0.25">
      <c r="C1889" s="66"/>
      <c r="J1889" s="66"/>
      <c r="K1889" s="66"/>
    </row>
    <row r="1890" spans="3:11" x14ac:dyDescent="0.25">
      <c r="C1890" s="66"/>
      <c r="J1890" s="66"/>
      <c r="K1890" s="66"/>
    </row>
    <row r="1891" spans="3:11" x14ac:dyDescent="0.25">
      <c r="C1891" s="66"/>
      <c r="J1891" s="66"/>
      <c r="K1891" s="66"/>
    </row>
    <row r="1892" spans="3:11" x14ac:dyDescent="0.25">
      <c r="C1892" s="66"/>
      <c r="J1892" s="66"/>
      <c r="K1892" s="66"/>
    </row>
    <row r="1893" spans="3:11" x14ac:dyDescent="0.25">
      <c r="C1893" s="66"/>
      <c r="J1893" s="66"/>
      <c r="K1893" s="66"/>
    </row>
    <row r="1894" spans="3:11" x14ac:dyDescent="0.25">
      <c r="C1894" s="66"/>
      <c r="J1894" s="66"/>
      <c r="K1894" s="66"/>
    </row>
    <row r="1895" spans="3:11" x14ac:dyDescent="0.25">
      <c r="C1895" s="66"/>
      <c r="J1895" s="66"/>
      <c r="K1895" s="66"/>
    </row>
    <row r="1896" spans="3:11" x14ac:dyDescent="0.25">
      <c r="C1896" s="66"/>
      <c r="J1896" s="66"/>
      <c r="K1896" s="66"/>
    </row>
    <row r="1897" spans="3:11" x14ac:dyDescent="0.25">
      <c r="C1897" s="66"/>
      <c r="J1897" s="66"/>
      <c r="K1897" s="66"/>
    </row>
    <row r="1898" spans="3:11" x14ac:dyDescent="0.25">
      <c r="C1898" s="66"/>
      <c r="J1898" s="66"/>
      <c r="K1898" s="66"/>
    </row>
    <row r="1899" spans="3:11" x14ac:dyDescent="0.25">
      <c r="C1899" s="66"/>
      <c r="J1899" s="66"/>
      <c r="K1899" s="66"/>
    </row>
    <row r="1900" spans="3:11" x14ac:dyDescent="0.25">
      <c r="C1900" s="66"/>
      <c r="J1900" s="66"/>
      <c r="K1900" s="66"/>
    </row>
    <row r="1901" spans="3:11" x14ac:dyDescent="0.25">
      <c r="C1901" s="66"/>
      <c r="J1901" s="66"/>
      <c r="K1901" s="66"/>
    </row>
    <row r="1902" spans="3:11" x14ac:dyDescent="0.25">
      <c r="C1902" s="66"/>
      <c r="J1902" s="66"/>
      <c r="K1902" s="66"/>
    </row>
    <row r="1903" spans="3:11" x14ac:dyDescent="0.25">
      <c r="C1903" s="66"/>
      <c r="J1903" s="66"/>
      <c r="K1903" s="66"/>
    </row>
    <row r="1904" spans="3:11" x14ac:dyDescent="0.25">
      <c r="C1904" s="66"/>
      <c r="J1904" s="66"/>
      <c r="K1904" s="66"/>
    </row>
    <row r="1905" spans="3:11" x14ac:dyDescent="0.25">
      <c r="C1905" s="66"/>
      <c r="J1905" s="66"/>
      <c r="K1905" s="66"/>
    </row>
    <row r="1906" spans="3:11" x14ac:dyDescent="0.25">
      <c r="C1906" s="66"/>
      <c r="J1906" s="66"/>
      <c r="K1906" s="66"/>
    </row>
    <row r="1907" spans="3:11" x14ac:dyDescent="0.25">
      <c r="C1907" s="66"/>
      <c r="J1907" s="66"/>
      <c r="K1907" s="66"/>
    </row>
    <row r="1908" spans="3:11" x14ac:dyDescent="0.25">
      <c r="C1908" s="66"/>
      <c r="J1908" s="66"/>
      <c r="K1908" s="66"/>
    </row>
    <row r="1909" spans="3:11" x14ac:dyDescent="0.25">
      <c r="C1909" s="66"/>
      <c r="J1909" s="66"/>
      <c r="K1909" s="66"/>
    </row>
    <row r="1910" spans="3:11" x14ac:dyDescent="0.25">
      <c r="C1910" s="66"/>
      <c r="J1910" s="66"/>
      <c r="K1910" s="66"/>
    </row>
    <row r="1911" spans="3:11" x14ac:dyDescent="0.25">
      <c r="C1911" s="66"/>
      <c r="J1911" s="66"/>
      <c r="K1911" s="66"/>
    </row>
    <row r="1912" spans="3:11" x14ac:dyDescent="0.25">
      <c r="C1912" s="66"/>
      <c r="J1912" s="66"/>
      <c r="K1912" s="66"/>
    </row>
    <row r="1913" spans="3:11" x14ac:dyDescent="0.25">
      <c r="C1913" s="66"/>
      <c r="J1913" s="66"/>
      <c r="K1913" s="66"/>
    </row>
    <row r="1914" spans="3:11" x14ac:dyDescent="0.25">
      <c r="C1914" s="66"/>
      <c r="J1914" s="66"/>
      <c r="K1914" s="66"/>
    </row>
    <row r="1915" spans="3:11" x14ac:dyDescent="0.25">
      <c r="C1915" s="66"/>
      <c r="J1915" s="66"/>
      <c r="K1915" s="66"/>
    </row>
    <row r="1916" spans="3:11" x14ac:dyDescent="0.25">
      <c r="C1916" s="66"/>
      <c r="J1916" s="66"/>
      <c r="K1916" s="66"/>
    </row>
    <row r="1917" spans="3:11" x14ac:dyDescent="0.25">
      <c r="C1917" s="66"/>
      <c r="J1917" s="66"/>
      <c r="K1917" s="66"/>
    </row>
    <row r="1918" spans="3:11" x14ac:dyDescent="0.25">
      <c r="C1918" s="66"/>
      <c r="J1918" s="66"/>
      <c r="K1918" s="66"/>
    </row>
    <row r="1919" spans="3:11" x14ac:dyDescent="0.25">
      <c r="C1919" s="66"/>
      <c r="J1919" s="66"/>
      <c r="K1919" s="66"/>
    </row>
    <row r="1920" spans="3:11" x14ac:dyDescent="0.25">
      <c r="C1920" s="66"/>
      <c r="J1920" s="66"/>
      <c r="K1920" s="66"/>
    </row>
    <row r="1921" spans="3:11" x14ac:dyDescent="0.25">
      <c r="C1921" s="66"/>
      <c r="J1921" s="66"/>
      <c r="K1921" s="66"/>
    </row>
    <row r="1922" spans="3:11" x14ac:dyDescent="0.25">
      <c r="C1922" s="66"/>
      <c r="J1922" s="66"/>
      <c r="K1922" s="66"/>
    </row>
    <row r="1923" spans="3:11" x14ac:dyDescent="0.25">
      <c r="C1923" s="66"/>
      <c r="J1923" s="66"/>
      <c r="K1923" s="66"/>
    </row>
    <row r="1924" spans="3:11" x14ac:dyDescent="0.25">
      <c r="C1924" s="66"/>
      <c r="J1924" s="66"/>
      <c r="K1924" s="66"/>
    </row>
    <row r="1925" spans="3:11" x14ac:dyDescent="0.25">
      <c r="C1925" s="66"/>
      <c r="J1925" s="66"/>
      <c r="K1925" s="66"/>
    </row>
    <row r="1926" spans="3:11" x14ac:dyDescent="0.25">
      <c r="C1926" s="66"/>
      <c r="J1926" s="66"/>
      <c r="K1926" s="66"/>
    </row>
    <row r="1927" spans="3:11" x14ac:dyDescent="0.25">
      <c r="C1927" s="66"/>
      <c r="J1927" s="66"/>
      <c r="K1927" s="66"/>
    </row>
    <row r="1928" spans="3:11" x14ac:dyDescent="0.25">
      <c r="C1928" s="66"/>
      <c r="J1928" s="66"/>
      <c r="K1928" s="66"/>
    </row>
    <row r="1929" spans="3:11" x14ac:dyDescent="0.25">
      <c r="C1929" s="66"/>
      <c r="J1929" s="66"/>
      <c r="K1929" s="66"/>
    </row>
    <row r="1930" spans="3:11" x14ac:dyDescent="0.25">
      <c r="C1930" s="66"/>
      <c r="J1930" s="66"/>
      <c r="K1930" s="66"/>
    </row>
    <row r="1931" spans="3:11" x14ac:dyDescent="0.25">
      <c r="C1931" s="66"/>
      <c r="J1931" s="66"/>
      <c r="K1931" s="66"/>
    </row>
    <row r="1932" spans="3:11" x14ac:dyDescent="0.25">
      <c r="C1932" s="66"/>
      <c r="J1932" s="66"/>
      <c r="K1932" s="66"/>
    </row>
    <row r="1933" spans="3:11" x14ac:dyDescent="0.25">
      <c r="C1933" s="66"/>
      <c r="J1933" s="66"/>
      <c r="K1933" s="66"/>
    </row>
    <row r="1934" spans="3:11" x14ac:dyDescent="0.25">
      <c r="C1934" s="66"/>
      <c r="J1934" s="66"/>
      <c r="K1934" s="66"/>
    </row>
    <row r="1935" spans="3:11" x14ac:dyDescent="0.25">
      <c r="C1935" s="66"/>
      <c r="J1935" s="66"/>
      <c r="K1935" s="66"/>
    </row>
    <row r="1936" spans="3:11" x14ac:dyDescent="0.25">
      <c r="C1936" s="66"/>
      <c r="J1936" s="66"/>
      <c r="K1936" s="66"/>
    </row>
    <row r="1937" spans="3:11" x14ac:dyDescent="0.25">
      <c r="C1937" s="66"/>
      <c r="J1937" s="66"/>
      <c r="K1937" s="66"/>
    </row>
    <row r="1938" spans="3:11" x14ac:dyDescent="0.25">
      <c r="C1938" s="66"/>
      <c r="J1938" s="66"/>
      <c r="K1938" s="66"/>
    </row>
    <row r="1939" spans="3:11" x14ac:dyDescent="0.25">
      <c r="C1939" s="66"/>
      <c r="J1939" s="66"/>
      <c r="K1939" s="66"/>
    </row>
    <row r="1940" spans="3:11" x14ac:dyDescent="0.25">
      <c r="C1940" s="66"/>
      <c r="J1940" s="66"/>
      <c r="K1940" s="66"/>
    </row>
    <row r="1941" spans="3:11" x14ac:dyDescent="0.25">
      <c r="C1941" s="66"/>
      <c r="J1941" s="66"/>
      <c r="K1941" s="66"/>
    </row>
    <row r="1942" spans="3:11" x14ac:dyDescent="0.25">
      <c r="C1942" s="66"/>
      <c r="J1942" s="66"/>
      <c r="K1942" s="66"/>
    </row>
    <row r="1943" spans="3:11" x14ac:dyDescent="0.25">
      <c r="C1943" s="66"/>
      <c r="J1943" s="66"/>
      <c r="K1943" s="66"/>
    </row>
    <row r="1944" spans="3:11" x14ac:dyDescent="0.25">
      <c r="C1944" s="66"/>
      <c r="J1944" s="66"/>
      <c r="K1944" s="66"/>
    </row>
    <row r="1945" spans="3:11" x14ac:dyDescent="0.25">
      <c r="C1945" s="66"/>
      <c r="J1945" s="66"/>
      <c r="K1945" s="66"/>
    </row>
    <row r="1946" spans="3:11" x14ac:dyDescent="0.25">
      <c r="C1946" s="66"/>
      <c r="J1946" s="66"/>
      <c r="K1946" s="66"/>
    </row>
    <row r="1947" spans="3:11" x14ac:dyDescent="0.25">
      <c r="C1947" s="66"/>
      <c r="J1947" s="66"/>
      <c r="K1947" s="66"/>
    </row>
    <row r="1948" spans="3:11" x14ac:dyDescent="0.25">
      <c r="C1948" s="66"/>
      <c r="J1948" s="66"/>
      <c r="K1948" s="66"/>
    </row>
    <row r="1949" spans="3:11" x14ac:dyDescent="0.25">
      <c r="C1949" s="66"/>
      <c r="J1949" s="66"/>
      <c r="K1949" s="66"/>
    </row>
    <row r="1950" spans="3:11" x14ac:dyDescent="0.25">
      <c r="C1950" s="66"/>
      <c r="J1950" s="66"/>
      <c r="K1950" s="66"/>
    </row>
    <row r="1951" spans="3:11" x14ac:dyDescent="0.25">
      <c r="C1951" s="66"/>
      <c r="J1951" s="66"/>
      <c r="K1951" s="66"/>
    </row>
    <row r="1952" spans="3:11" x14ac:dyDescent="0.25">
      <c r="C1952" s="66"/>
      <c r="J1952" s="66"/>
      <c r="K1952" s="66"/>
    </row>
    <row r="1953" spans="3:11" x14ac:dyDescent="0.25">
      <c r="C1953" s="66"/>
      <c r="J1953" s="66"/>
      <c r="K1953" s="66"/>
    </row>
    <row r="1954" spans="3:11" x14ac:dyDescent="0.25">
      <c r="C1954" s="66"/>
      <c r="J1954" s="66"/>
      <c r="K1954" s="66"/>
    </row>
    <row r="1955" spans="3:11" x14ac:dyDescent="0.25">
      <c r="C1955" s="66"/>
      <c r="J1955" s="66"/>
      <c r="K1955" s="66"/>
    </row>
    <row r="1956" spans="3:11" x14ac:dyDescent="0.25">
      <c r="C1956" s="66"/>
      <c r="J1956" s="66"/>
      <c r="K1956" s="66"/>
    </row>
    <row r="1957" spans="3:11" x14ac:dyDescent="0.25">
      <c r="C1957" s="66"/>
      <c r="J1957" s="66"/>
      <c r="K1957" s="66"/>
    </row>
    <row r="1958" spans="3:11" x14ac:dyDescent="0.25">
      <c r="C1958" s="66"/>
      <c r="J1958" s="66"/>
      <c r="K1958" s="66"/>
    </row>
    <row r="1959" spans="3:11" x14ac:dyDescent="0.25">
      <c r="C1959" s="66"/>
      <c r="J1959" s="66"/>
      <c r="K1959" s="66"/>
    </row>
    <row r="1960" spans="3:11" x14ac:dyDescent="0.25">
      <c r="C1960" s="66"/>
      <c r="J1960" s="66"/>
      <c r="K1960" s="66"/>
    </row>
    <row r="1961" spans="3:11" x14ac:dyDescent="0.25">
      <c r="C1961" s="66"/>
      <c r="J1961" s="66"/>
      <c r="K1961" s="66"/>
    </row>
    <row r="1962" spans="3:11" x14ac:dyDescent="0.25">
      <c r="C1962" s="66"/>
      <c r="J1962" s="66"/>
      <c r="K1962" s="66"/>
    </row>
    <row r="1963" spans="3:11" x14ac:dyDescent="0.25">
      <c r="C1963" s="66"/>
      <c r="J1963" s="66"/>
      <c r="K1963" s="66"/>
    </row>
    <row r="1964" spans="3:11" x14ac:dyDescent="0.25">
      <c r="C1964" s="66"/>
      <c r="J1964" s="66"/>
      <c r="K1964" s="66"/>
    </row>
    <row r="1965" spans="3:11" x14ac:dyDescent="0.25">
      <c r="C1965" s="66"/>
      <c r="J1965" s="66"/>
      <c r="K1965" s="66"/>
    </row>
    <row r="1966" spans="3:11" x14ac:dyDescent="0.25">
      <c r="C1966" s="66"/>
      <c r="J1966" s="66"/>
      <c r="K1966" s="66"/>
    </row>
    <row r="1967" spans="3:11" x14ac:dyDescent="0.25">
      <c r="C1967" s="66"/>
      <c r="J1967" s="66"/>
      <c r="K1967" s="66"/>
    </row>
    <row r="1968" spans="3:11" x14ac:dyDescent="0.25">
      <c r="C1968" s="66"/>
      <c r="J1968" s="66"/>
      <c r="K1968" s="66"/>
    </row>
    <row r="1969" spans="3:11" x14ac:dyDescent="0.25">
      <c r="C1969" s="66"/>
      <c r="J1969" s="66"/>
      <c r="K1969" s="66"/>
    </row>
    <row r="1970" spans="3:11" x14ac:dyDescent="0.25">
      <c r="C1970" s="66"/>
      <c r="J1970" s="66"/>
      <c r="K1970" s="66"/>
    </row>
    <row r="1971" spans="3:11" x14ac:dyDescent="0.25">
      <c r="C1971" s="66"/>
      <c r="J1971" s="66"/>
      <c r="K1971" s="66"/>
    </row>
    <row r="1972" spans="3:11" x14ac:dyDescent="0.25">
      <c r="C1972" s="66"/>
      <c r="J1972" s="66"/>
      <c r="K1972" s="66"/>
    </row>
    <row r="1973" spans="3:11" x14ac:dyDescent="0.25">
      <c r="C1973" s="66"/>
      <c r="J1973" s="66"/>
      <c r="K1973" s="66"/>
    </row>
    <row r="1974" spans="3:11" x14ac:dyDescent="0.25">
      <c r="C1974" s="66"/>
      <c r="J1974" s="66"/>
      <c r="K1974" s="66"/>
    </row>
    <row r="1975" spans="3:11" x14ac:dyDescent="0.25">
      <c r="C1975" s="66"/>
      <c r="J1975" s="66"/>
      <c r="K1975" s="66"/>
    </row>
    <row r="1976" spans="3:11" x14ac:dyDescent="0.25">
      <c r="C1976" s="66"/>
      <c r="J1976" s="66"/>
      <c r="K1976" s="66"/>
    </row>
    <row r="1977" spans="3:11" x14ac:dyDescent="0.25">
      <c r="C1977" s="66"/>
      <c r="J1977" s="66"/>
      <c r="K1977" s="66"/>
    </row>
    <row r="1978" spans="3:11" x14ac:dyDescent="0.25">
      <c r="C1978" s="66"/>
      <c r="J1978" s="66"/>
      <c r="K1978" s="66"/>
    </row>
    <row r="1979" spans="3:11" x14ac:dyDescent="0.25">
      <c r="C1979" s="66"/>
      <c r="J1979" s="66"/>
      <c r="K1979" s="66"/>
    </row>
    <row r="1980" spans="3:11" x14ac:dyDescent="0.25">
      <c r="C1980" s="66"/>
      <c r="J1980" s="66"/>
      <c r="K1980" s="66"/>
    </row>
    <row r="1981" spans="3:11" x14ac:dyDescent="0.25">
      <c r="C1981" s="66"/>
      <c r="J1981" s="66"/>
      <c r="K1981" s="66"/>
    </row>
    <row r="1982" spans="3:11" x14ac:dyDescent="0.25">
      <c r="C1982" s="66"/>
      <c r="J1982" s="66"/>
      <c r="K1982" s="66"/>
    </row>
    <row r="1983" spans="3:11" x14ac:dyDescent="0.25">
      <c r="C1983" s="66"/>
      <c r="J1983" s="66"/>
      <c r="K1983" s="66"/>
    </row>
    <row r="1984" spans="3:11" x14ac:dyDescent="0.25">
      <c r="C1984" s="66"/>
      <c r="J1984" s="66"/>
      <c r="K1984" s="66"/>
    </row>
    <row r="1985" spans="3:11" x14ac:dyDescent="0.25">
      <c r="C1985" s="66"/>
      <c r="J1985" s="66"/>
      <c r="K1985" s="66"/>
    </row>
    <row r="1986" spans="3:11" x14ac:dyDescent="0.25">
      <c r="C1986" s="66"/>
      <c r="J1986" s="66"/>
      <c r="K1986" s="66"/>
    </row>
    <row r="1987" spans="3:11" x14ac:dyDescent="0.25">
      <c r="C1987" s="66"/>
      <c r="J1987" s="66"/>
      <c r="K1987" s="66"/>
    </row>
    <row r="1988" spans="3:11" x14ac:dyDescent="0.25">
      <c r="C1988" s="66"/>
      <c r="J1988" s="66"/>
      <c r="K1988" s="66"/>
    </row>
    <row r="1989" spans="3:11" x14ac:dyDescent="0.25">
      <c r="C1989" s="66"/>
      <c r="J1989" s="66"/>
      <c r="K1989" s="66"/>
    </row>
    <row r="1990" spans="3:11" x14ac:dyDescent="0.25">
      <c r="C1990" s="66"/>
      <c r="J1990" s="66"/>
      <c r="K1990" s="66"/>
    </row>
    <row r="1991" spans="3:11" x14ac:dyDescent="0.25">
      <c r="C1991" s="66"/>
      <c r="J1991" s="66"/>
      <c r="K1991" s="66"/>
    </row>
    <row r="1992" spans="3:11" x14ac:dyDescent="0.25">
      <c r="C1992" s="66"/>
      <c r="J1992" s="66"/>
      <c r="K1992" s="66"/>
    </row>
    <row r="1993" spans="3:11" x14ac:dyDescent="0.25">
      <c r="C1993" s="66"/>
      <c r="J1993" s="66"/>
      <c r="K1993" s="66"/>
    </row>
    <row r="1994" spans="3:11" x14ac:dyDescent="0.25">
      <c r="C1994" s="66"/>
      <c r="J1994" s="66"/>
      <c r="K1994" s="66"/>
    </row>
    <row r="1995" spans="3:11" x14ac:dyDescent="0.25">
      <c r="C1995" s="66"/>
      <c r="J1995" s="66"/>
      <c r="K1995" s="66"/>
    </row>
    <row r="1996" spans="3:11" x14ac:dyDescent="0.25">
      <c r="C1996" s="66"/>
      <c r="J1996" s="66"/>
      <c r="K1996" s="66"/>
    </row>
    <row r="1997" spans="3:11" x14ac:dyDescent="0.25">
      <c r="C1997" s="66"/>
      <c r="J1997" s="66"/>
      <c r="K1997" s="66"/>
    </row>
    <row r="1998" spans="3:11" x14ac:dyDescent="0.25">
      <c r="C1998" s="66"/>
      <c r="J1998" s="66"/>
      <c r="K1998" s="66"/>
    </row>
    <row r="1999" spans="3:11" x14ac:dyDescent="0.25">
      <c r="C1999" s="66"/>
      <c r="J1999" s="66"/>
      <c r="K1999" s="66"/>
    </row>
    <row r="2000" spans="3:11" x14ac:dyDescent="0.25">
      <c r="C2000" s="66"/>
      <c r="J2000" s="66"/>
      <c r="K2000" s="66"/>
    </row>
  </sheetData>
  <sheetProtection sheet="1" scenarios="1" formatCells="0" formatColumns="0" formatRows="0"/>
  <conditionalFormatting sqref="H6:H1000">
    <cfRule type="expression" dxfId="10" priority="1" stopIfTrue="1">
      <formula>$H6="Overdue"</formula>
    </cfRule>
    <cfRule type="expression" dxfId="9" priority="2" stopIfTrue="1">
      <formula>$H6="Complete"</formula>
    </cfRule>
    <cfRule type="expression" dxfId="8" priority="3" stopIfTrue="1">
      <formula>$H6="In progress"</formula>
    </cfRule>
    <cfRule type="expression" dxfId="7" priority="4" stopIfTrue="1">
      <formula>$H6="Not started"</formula>
    </cfRule>
    <cfRule type="expression" dxfId="6" priority="5" stopIfTrue="1">
      <formula>$H6="Archived"</formula>
    </cfRule>
  </conditionalFormatting>
  <conditionalFormatting sqref="G6:G1000">
    <cfRule type="dataBar" priority="6">
      <dataBar>
        <cfvo type="num" val="0"/>
        <cfvo type="num" val="1"/>
        <color rgb="FF638EC6"/>
      </dataBar>
      <extLst>
        <ext xmlns:x14="http://schemas.microsoft.com/office/spreadsheetml/2009/9/main" uri="{B025F937-C7B1-47D3-B67F-A62EFF666E3E}">
          <x14:id>{CC588FA2-B6EA-4722-911E-B5DA67F01D18}</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tnNewProject">
              <controlPr defaultSize="0" print="0" autoFill="0" autoPict="0" macro="NewProject">
                <anchor>
                  <from>
                    <xdr:col>3</xdr:col>
                    <xdr:colOff>1381125</xdr:colOff>
                    <xdr:row>0</xdr:row>
                    <xdr:rowOff>38100</xdr:rowOff>
                  </from>
                  <to>
                    <xdr:col>5</xdr:col>
                    <xdr:colOff>923925</xdr:colOff>
                    <xdr:row>0</xdr:row>
                    <xdr:rowOff>342900</xdr:rowOff>
                  </to>
                </anchor>
              </controlPr>
            </control>
          </mc:Choice>
        </mc:AlternateContent>
        <mc:AlternateContent xmlns:mc="http://schemas.openxmlformats.org/markup-compatibility/2006">
          <mc:Choice Requires="x14">
            <control shapeId="9218" r:id="rId4" name="btnArchive">
              <controlPr defaultSize="0" print="0" autoFill="0" autoPict="0" macro="ArchiveProject">
                <anchor>
                  <from>
                    <xdr:col>6</xdr:col>
                    <xdr:colOff>47625</xdr:colOff>
                    <xdr:row>0</xdr:row>
                    <xdr:rowOff>38100</xdr:rowOff>
                  </from>
                  <to>
                    <xdr:col>8</xdr:col>
                    <xdr:colOff>190500</xdr:colOff>
                    <xdr:row>0</xdr:row>
                    <xdr:rowOff>342900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CC588FA2-B6EA-4722-911E-B5DA67F01D18}">
            <x14:dataBar minLength="0" maxLength="100" negativeBarColorSameAsPositive="1" axisPosition="none">
              <x14:cfvo type="num">
                <xm:f>0</xm:f>
              </x14:cfvo>
              <x14:cfvo type="num">
                <xm:f>1</xm:f>
              </x14:cfvo>
            </x14:dataBar>
          </x14:cfRule>
          <xm:sqref>G6:G1000</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B77AE-8817-4503-BEC3-C30EED11C857}">
  <sheetPr codeName="Sheet5"/>
  <dimension ref="A1:D202"/>
  <sheetViews>
    <sheetView showGridLines="0" workbookViewId="0"/>
  </sheetViews>
  <sheetFormatPr defaultRowHeight="14.25" x14ac:dyDescent="0.2"/>
  <cols>
    <col min="1" max="1" width="2.7109375" style="24" customWidth="1"/>
    <col min="2" max="2" width="3.7109375" style="24" customWidth="1"/>
    <col min="3" max="3" width="110.7109375" style="24" customWidth="1"/>
    <col min="4" max="16384" width="9.140625" style="24"/>
  </cols>
  <sheetData>
    <row r="1" spans="1:4" ht="30" customHeight="1" x14ac:dyDescent="0.25">
      <c r="A1" s="21"/>
      <c r="B1" s="22" t="s">
        <v>68</v>
      </c>
      <c r="C1" s="23"/>
      <c r="D1" s="21"/>
    </row>
    <row r="2" spans="1:4" ht="15" customHeight="1" x14ac:dyDescent="0.25">
      <c r="A2" s="21"/>
      <c r="B2" s="25" t="s">
        <v>91</v>
      </c>
      <c r="C2" s="23"/>
      <c r="D2" s="21"/>
    </row>
    <row r="3" spans="1:4" ht="18" customHeight="1" x14ac:dyDescent="0.25">
      <c r="A3" s="21"/>
      <c r="B3" s="23"/>
      <c r="C3" s="19" t="str">
        <f>HYPERLINK("#'Projects'!A1","◄ All projects")</f>
        <v>◄ All projects</v>
      </c>
      <c r="D3" s="21"/>
    </row>
    <row r="4" spans="1:4" ht="21.95" customHeight="1" x14ac:dyDescent="0.25">
      <c r="A4" s="21"/>
      <c r="B4" s="26" t="s">
        <v>69</v>
      </c>
      <c r="C4" s="23"/>
      <c r="D4" s="21"/>
    </row>
    <row r="5" spans="1:4" ht="28.5" x14ac:dyDescent="0.25">
      <c r="A5" s="21"/>
      <c r="B5" s="27" t="s">
        <v>70</v>
      </c>
      <c r="C5" s="28" t="s">
        <v>99</v>
      </c>
      <c r="D5" s="21"/>
    </row>
    <row r="6" spans="1:4" ht="28.5" x14ac:dyDescent="0.25">
      <c r="A6" s="21"/>
      <c r="B6" s="27" t="s">
        <v>70</v>
      </c>
      <c r="C6" s="28" t="s">
        <v>71</v>
      </c>
      <c r="D6" s="21"/>
    </row>
    <row r="7" spans="1:4" ht="28.5" x14ac:dyDescent="0.25">
      <c r="A7" s="21"/>
      <c r="B7" s="27" t="s">
        <v>70</v>
      </c>
      <c r="C7" s="28" t="s">
        <v>72</v>
      </c>
      <c r="D7" s="21"/>
    </row>
    <row r="8" spans="1:4" ht="8.1" customHeight="1" x14ac:dyDescent="0.25">
      <c r="A8" s="21"/>
      <c r="B8" s="23"/>
      <c r="C8" s="23"/>
      <c r="D8" s="21"/>
    </row>
    <row r="9" spans="1:4" ht="21.95" customHeight="1" x14ac:dyDescent="0.25">
      <c r="A9" s="21"/>
      <c r="B9" s="26" t="s">
        <v>73</v>
      </c>
      <c r="C9" s="23"/>
      <c r="D9" s="21"/>
    </row>
    <row r="10" spans="1:4" ht="15" x14ac:dyDescent="0.25">
      <c r="A10" s="21"/>
      <c r="B10" s="23"/>
      <c r="C10" s="28" t="s">
        <v>74</v>
      </c>
      <c r="D10" s="21"/>
    </row>
    <row r="11" spans="1:4" ht="15" x14ac:dyDescent="0.25">
      <c r="A11" s="21"/>
      <c r="B11" s="23"/>
      <c r="C11" s="28" t="s">
        <v>100</v>
      </c>
      <c r="D11" s="21"/>
    </row>
    <row r="12" spans="1:4" ht="28.5" x14ac:dyDescent="0.25">
      <c r="A12" s="21"/>
      <c r="B12" s="23"/>
      <c r="C12" s="28" t="s">
        <v>75</v>
      </c>
      <c r="D12" s="21"/>
    </row>
    <row r="13" spans="1:4" ht="8.1" customHeight="1" x14ac:dyDescent="0.25">
      <c r="A13" s="21"/>
      <c r="B13" s="23"/>
      <c r="C13" s="23"/>
      <c r="D13" s="21"/>
    </row>
    <row r="14" spans="1:4" ht="21.95" customHeight="1" x14ac:dyDescent="0.25">
      <c r="A14" s="21"/>
      <c r="B14" s="26" t="s">
        <v>76</v>
      </c>
      <c r="C14" s="23"/>
      <c r="D14" s="21"/>
    </row>
    <row r="15" spans="1:4" ht="28.5" x14ac:dyDescent="0.25">
      <c r="A15" s="21"/>
      <c r="B15" s="27" t="s">
        <v>70</v>
      </c>
      <c r="C15" s="28" t="s">
        <v>77</v>
      </c>
      <c r="D15" s="21"/>
    </row>
    <row r="16" spans="1:4" ht="28.5" x14ac:dyDescent="0.25">
      <c r="A16" s="21"/>
      <c r="B16" s="27" t="s">
        <v>70</v>
      </c>
      <c r="C16" s="28" t="s">
        <v>78</v>
      </c>
      <c r="D16" s="21"/>
    </row>
    <row r="17" spans="1:4" ht="28.5" x14ac:dyDescent="0.25">
      <c r="A17" s="21"/>
      <c r="B17" s="27" t="s">
        <v>70</v>
      </c>
      <c r="C17" s="28" t="s">
        <v>79</v>
      </c>
      <c r="D17" s="21"/>
    </row>
    <row r="18" spans="1:4" ht="28.5" x14ac:dyDescent="0.25">
      <c r="A18" s="21"/>
      <c r="B18" s="27" t="s">
        <v>70</v>
      </c>
      <c r="C18" s="28" t="s">
        <v>80</v>
      </c>
      <c r="D18" s="21"/>
    </row>
    <row r="19" spans="1:4" ht="15" x14ac:dyDescent="0.25">
      <c r="A19" s="21"/>
      <c r="B19" s="27" t="s">
        <v>70</v>
      </c>
      <c r="C19" s="28" t="s">
        <v>104</v>
      </c>
      <c r="D19" s="21"/>
    </row>
    <row r="20" spans="1:4" ht="15" x14ac:dyDescent="0.25">
      <c r="A20" s="21"/>
      <c r="B20" s="27" t="s">
        <v>70</v>
      </c>
      <c r="C20" s="28" t="s">
        <v>81</v>
      </c>
      <c r="D20" s="21"/>
    </row>
    <row r="21" spans="1:4" ht="8.1" customHeight="1" x14ac:dyDescent="0.25">
      <c r="A21" s="21"/>
      <c r="B21" s="23"/>
      <c r="C21" s="23"/>
      <c r="D21" s="21"/>
    </row>
    <row r="22" spans="1:4" ht="21.95" customHeight="1" x14ac:dyDescent="0.25">
      <c r="A22" s="21"/>
      <c r="B22" s="26" t="s">
        <v>82</v>
      </c>
      <c r="C22" s="23"/>
      <c r="D22" s="21"/>
    </row>
    <row r="23" spans="1:4" ht="28.5" x14ac:dyDescent="0.25">
      <c r="A23" s="21"/>
      <c r="B23" s="27" t="s">
        <v>70</v>
      </c>
      <c r="C23" s="28" t="s">
        <v>83</v>
      </c>
      <c r="D23" s="21"/>
    </row>
    <row r="24" spans="1:4" ht="15" x14ac:dyDescent="0.25">
      <c r="A24" s="21"/>
      <c r="B24" s="27" t="s">
        <v>70</v>
      </c>
      <c r="C24" s="28" t="s">
        <v>84</v>
      </c>
      <c r="D24" s="21"/>
    </row>
    <row r="25" spans="1:4" ht="8.1" customHeight="1" x14ac:dyDescent="0.25">
      <c r="A25" s="21"/>
      <c r="B25" s="23"/>
      <c r="C25" s="23"/>
      <c r="D25" s="21"/>
    </row>
    <row r="26" spans="1:4" ht="21.95" customHeight="1" x14ac:dyDescent="0.25">
      <c r="A26" s="21"/>
      <c r="B26" s="26" t="s">
        <v>101</v>
      </c>
      <c r="C26" s="23"/>
      <c r="D26" s="21"/>
    </row>
    <row r="27" spans="1:4" ht="28.5" x14ac:dyDescent="0.25">
      <c r="A27" s="21"/>
      <c r="B27" s="27" t="s">
        <v>70</v>
      </c>
      <c r="C27" s="28" t="s">
        <v>95</v>
      </c>
      <c r="D27" s="21"/>
    </row>
    <row r="28" spans="1:4" ht="15" x14ac:dyDescent="0.25">
      <c r="A28" s="21"/>
      <c r="B28" s="27" t="s">
        <v>70</v>
      </c>
      <c r="C28" s="28" t="s">
        <v>96</v>
      </c>
      <c r="D28" s="21"/>
    </row>
    <row r="29" spans="1:4" ht="28.5" x14ac:dyDescent="0.25">
      <c r="A29" s="21"/>
      <c r="B29" s="27" t="s">
        <v>70</v>
      </c>
      <c r="C29" s="28" t="s">
        <v>97</v>
      </c>
      <c r="D29" s="21"/>
    </row>
    <row r="30" spans="1:4" ht="8.1" customHeight="1" x14ac:dyDescent="0.25">
      <c r="A30" s="21"/>
      <c r="B30" s="23"/>
      <c r="C30" s="23"/>
      <c r="D30" s="21"/>
    </row>
    <row r="31" spans="1:4" ht="21.95" customHeight="1" x14ac:dyDescent="0.25">
      <c r="A31" s="21"/>
      <c r="B31" s="26" t="s">
        <v>85</v>
      </c>
      <c r="C31" s="23"/>
      <c r="D31" s="21"/>
    </row>
    <row r="32" spans="1:4" ht="15" x14ac:dyDescent="0.25">
      <c r="A32" s="21"/>
      <c r="B32" s="27" t="s">
        <v>70</v>
      </c>
      <c r="C32" s="28" t="s">
        <v>86</v>
      </c>
      <c r="D32" s="21"/>
    </row>
    <row r="33" spans="1:4" ht="15" x14ac:dyDescent="0.25">
      <c r="A33" s="21"/>
      <c r="B33" s="27" t="s">
        <v>70</v>
      </c>
      <c r="C33" s="28" t="s">
        <v>87</v>
      </c>
      <c r="D33" s="21"/>
    </row>
    <row r="34" spans="1:4" ht="28.5" x14ac:dyDescent="0.25">
      <c r="A34" s="21"/>
      <c r="B34" s="27" t="s">
        <v>70</v>
      </c>
      <c r="C34" s="28" t="s">
        <v>88</v>
      </c>
      <c r="D34" s="21"/>
    </row>
    <row r="35" spans="1:4" ht="28.5" x14ac:dyDescent="0.25">
      <c r="A35" s="21"/>
      <c r="B35" s="27" t="s">
        <v>70</v>
      </c>
      <c r="C35" s="28" t="s">
        <v>89</v>
      </c>
      <c r="D35" s="21"/>
    </row>
    <row r="36" spans="1:4" ht="42.75" x14ac:dyDescent="0.25">
      <c r="A36" s="21"/>
      <c r="B36" s="27" t="s">
        <v>70</v>
      </c>
      <c r="C36" s="28" t="s">
        <v>105</v>
      </c>
      <c r="D36" s="21"/>
    </row>
    <row r="37" spans="1:4" ht="8.1" customHeight="1" x14ac:dyDescent="0.25">
      <c r="A37" s="21"/>
      <c r="B37" s="23"/>
      <c r="C37" s="23"/>
      <c r="D37" s="21"/>
    </row>
    <row r="38" spans="1:4" ht="21.95" customHeight="1" x14ac:dyDescent="0.25">
      <c r="A38" s="21"/>
      <c r="B38" s="26" t="s">
        <v>92</v>
      </c>
      <c r="C38" s="23"/>
      <c r="D38" s="21"/>
    </row>
    <row r="39" spans="1:4" ht="15" x14ac:dyDescent="0.25">
      <c r="A39" s="21"/>
      <c r="B39" s="27" t="s">
        <v>70</v>
      </c>
      <c r="C39" s="28" t="s">
        <v>93</v>
      </c>
      <c r="D39" s="21"/>
    </row>
    <row r="40" spans="1:4" ht="28.5" x14ac:dyDescent="0.25">
      <c r="A40" s="21"/>
      <c r="B40" s="27" t="s">
        <v>70</v>
      </c>
      <c r="C40" s="28" t="s">
        <v>90</v>
      </c>
      <c r="D40" s="21"/>
    </row>
    <row r="41" spans="1:4" ht="28.5" x14ac:dyDescent="0.25">
      <c r="A41" s="21"/>
      <c r="B41" s="27" t="s">
        <v>70</v>
      </c>
      <c r="C41" s="28" t="s">
        <v>94</v>
      </c>
      <c r="D41" s="21"/>
    </row>
    <row r="42" spans="1:4" ht="15" x14ac:dyDescent="0.25">
      <c r="A42" s="21"/>
      <c r="D42" s="21"/>
    </row>
    <row r="43" spans="1:4" ht="15" x14ac:dyDescent="0.25">
      <c r="A43" s="21"/>
      <c r="B43" s="21"/>
      <c r="C43" s="21"/>
      <c r="D43" s="21"/>
    </row>
    <row r="44" spans="1:4" ht="15" x14ac:dyDescent="0.25">
      <c r="A44" s="21"/>
      <c r="B44" s="21"/>
      <c r="C44" s="21"/>
      <c r="D44" s="21"/>
    </row>
    <row r="45" spans="1:4" ht="15" x14ac:dyDescent="0.25">
      <c r="A45" s="21"/>
      <c r="B45" s="21"/>
      <c r="C45" s="21"/>
      <c r="D45" s="21"/>
    </row>
    <row r="46" spans="1:4" ht="15" x14ac:dyDescent="0.25">
      <c r="A46" s="21"/>
      <c r="B46" s="21"/>
      <c r="C46" s="21"/>
      <c r="D46" s="21"/>
    </row>
    <row r="47" spans="1:4" ht="15" x14ac:dyDescent="0.25">
      <c r="A47" s="21"/>
      <c r="B47" s="21"/>
      <c r="C47" s="21"/>
      <c r="D47" s="21"/>
    </row>
    <row r="48" spans="1:4" ht="15" x14ac:dyDescent="0.25">
      <c r="A48" s="21"/>
      <c r="B48" s="21"/>
      <c r="C48" s="21"/>
      <c r="D48" s="21"/>
    </row>
    <row r="49" spans="1:4" ht="15" x14ac:dyDescent="0.25">
      <c r="A49" s="21"/>
      <c r="B49" s="21"/>
      <c r="C49" s="21"/>
      <c r="D49" s="21"/>
    </row>
    <row r="50" spans="1:4" ht="15" x14ac:dyDescent="0.25">
      <c r="A50" s="21"/>
      <c r="B50" s="21"/>
      <c r="C50" s="21"/>
      <c r="D50" s="21"/>
    </row>
    <row r="51" spans="1:4" ht="15" x14ac:dyDescent="0.25">
      <c r="A51" s="21"/>
      <c r="B51" s="21"/>
      <c r="C51" s="21"/>
      <c r="D51" s="21"/>
    </row>
    <row r="52" spans="1:4" ht="15" x14ac:dyDescent="0.25">
      <c r="A52" s="21"/>
      <c r="B52" s="21"/>
      <c r="C52" s="21"/>
      <c r="D52" s="21"/>
    </row>
    <row r="53" spans="1:4" ht="15" x14ac:dyDescent="0.25">
      <c r="A53" s="21"/>
      <c r="B53" s="21"/>
      <c r="C53" s="21"/>
      <c r="D53" s="21"/>
    </row>
    <row r="54" spans="1:4" ht="15" x14ac:dyDescent="0.25">
      <c r="A54" s="21"/>
      <c r="B54" s="21"/>
      <c r="C54" s="21"/>
      <c r="D54" s="21"/>
    </row>
    <row r="55" spans="1:4" ht="15" x14ac:dyDescent="0.25">
      <c r="A55" s="21"/>
      <c r="B55" s="21"/>
      <c r="C55" s="21"/>
      <c r="D55" s="21"/>
    </row>
    <row r="56" spans="1:4" ht="15" x14ac:dyDescent="0.25">
      <c r="A56" s="21"/>
      <c r="B56" s="21"/>
      <c r="C56" s="21"/>
      <c r="D56" s="21"/>
    </row>
    <row r="57" spans="1:4" ht="15" x14ac:dyDescent="0.25">
      <c r="A57" s="21"/>
      <c r="B57" s="21"/>
      <c r="C57" s="21"/>
      <c r="D57" s="21"/>
    </row>
    <row r="58" spans="1:4" ht="15" x14ac:dyDescent="0.25">
      <c r="A58" s="21"/>
      <c r="B58" s="21"/>
      <c r="C58" s="21"/>
      <c r="D58" s="21"/>
    </row>
    <row r="59" spans="1:4" ht="15" x14ac:dyDescent="0.25">
      <c r="A59" s="21"/>
      <c r="B59" s="21"/>
      <c r="C59" s="21"/>
      <c r="D59" s="21"/>
    </row>
    <row r="60" spans="1:4" ht="15" x14ac:dyDescent="0.25">
      <c r="A60" s="21"/>
      <c r="B60" s="21"/>
      <c r="C60" s="21"/>
      <c r="D60" s="21"/>
    </row>
    <row r="61" spans="1:4" ht="15" x14ac:dyDescent="0.25">
      <c r="A61" s="21"/>
      <c r="B61" s="21"/>
      <c r="C61" s="21"/>
      <c r="D61" s="21"/>
    </row>
    <row r="62" spans="1:4" ht="15" x14ac:dyDescent="0.25">
      <c r="A62" s="21"/>
      <c r="B62" s="21"/>
      <c r="C62" s="21"/>
      <c r="D62" s="21"/>
    </row>
    <row r="63" spans="1:4" ht="15" x14ac:dyDescent="0.25">
      <c r="A63" s="21"/>
      <c r="B63" s="21"/>
      <c r="C63" s="21"/>
      <c r="D63" s="21"/>
    </row>
    <row r="64" spans="1:4" ht="15" x14ac:dyDescent="0.25">
      <c r="A64" s="21"/>
      <c r="B64" s="21"/>
      <c r="C64" s="21"/>
      <c r="D64" s="21"/>
    </row>
    <row r="65" spans="1:4" ht="15" x14ac:dyDescent="0.25">
      <c r="A65" s="21"/>
      <c r="B65" s="21"/>
      <c r="C65" s="21"/>
      <c r="D65" s="21"/>
    </row>
    <row r="66" spans="1:4" ht="15" x14ac:dyDescent="0.25">
      <c r="A66" s="21"/>
      <c r="B66" s="21"/>
      <c r="C66" s="21"/>
      <c r="D66" s="21"/>
    </row>
    <row r="67" spans="1:4" ht="15" x14ac:dyDescent="0.25">
      <c r="A67" s="21"/>
      <c r="B67" s="21"/>
      <c r="C67" s="21"/>
      <c r="D67" s="21"/>
    </row>
    <row r="68" spans="1:4" ht="15" x14ac:dyDescent="0.25">
      <c r="A68" s="21"/>
      <c r="B68" s="21"/>
      <c r="C68" s="21"/>
      <c r="D68" s="21"/>
    </row>
    <row r="69" spans="1:4" ht="15" x14ac:dyDescent="0.25">
      <c r="A69" s="21"/>
      <c r="B69" s="21"/>
      <c r="C69" s="21"/>
      <c r="D69" s="21"/>
    </row>
    <row r="70" spans="1:4" ht="15" x14ac:dyDescent="0.25">
      <c r="A70" s="21"/>
      <c r="B70" s="21"/>
      <c r="C70" s="21"/>
      <c r="D70" s="21"/>
    </row>
    <row r="71" spans="1:4" ht="15" x14ac:dyDescent="0.25">
      <c r="A71" s="21"/>
      <c r="B71" s="21"/>
      <c r="C71" s="21"/>
      <c r="D71" s="21"/>
    </row>
    <row r="72" spans="1:4" ht="15" x14ac:dyDescent="0.25">
      <c r="A72" s="21"/>
      <c r="B72" s="21"/>
      <c r="C72" s="21"/>
      <c r="D72" s="21"/>
    </row>
    <row r="73" spans="1:4" ht="15" x14ac:dyDescent="0.25">
      <c r="A73" s="21"/>
      <c r="B73" s="21"/>
      <c r="C73" s="21"/>
      <c r="D73" s="21"/>
    </row>
    <row r="74" spans="1:4" ht="15" x14ac:dyDescent="0.25">
      <c r="A74" s="21"/>
      <c r="B74" s="21"/>
      <c r="C74" s="21"/>
      <c r="D74" s="21"/>
    </row>
    <row r="75" spans="1:4" ht="15" x14ac:dyDescent="0.25">
      <c r="A75" s="21"/>
      <c r="B75" s="21"/>
      <c r="C75" s="21"/>
      <c r="D75" s="21"/>
    </row>
    <row r="76" spans="1:4" ht="15" x14ac:dyDescent="0.25">
      <c r="A76" s="21"/>
      <c r="B76" s="21"/>
      <c r="C76" s="21"/>
      <c r="D76" s="21"/>
    </row>
    <row r="77" spans="1:4" ht="15" x14ac:dyDescent="0.25">
      <c r="A77" s="21"/>
      <c r="B77" s="21"/>
      <c r="C77" s="21"/>
      <c r="D77" s="21"/>
    </row>
    <row r="78" spans="1:4" ht="15" x14ac:dyDescent="0.25">
      <c r="A78" s="21"/>
      <c r="B78" s="21"/>
      <c r="C78" s="21"/>
      <c r="D78" s="21"/>
    </row>
    <row r="79" spans="1:4" ht="15" x14ac:dyDescent="0.25">
      <c r="A79" s="21"/>
      <c r="B79" s="21"/>
      <c r="C79" s="21"/>
      <c r="D79" s="21"/>
    </row>
    <row r="80" spans="1:4" ht="15" x14ac:dyDescent="0.25">
      <c r="A80" s="21"/>
      <c r="B80" s="21"/>
      <c r="C80" s="21"/>
      <c r="D80" s="21"/>
    </row>
    <row r="81" spans="1:4" ht="15" x14ac:dyDescent="0.25">
      <c r="A81" s="21"/>
      <c r="B81" s="21"/>
      <c r="C81" s="21"/>
      <c r="D81" s="21"/>
    </row>
    <row r="82" spans="1:4" ht="15" x14ac:dyDescent="0.25">
      <c r="A82" s="21"/>
      <c r="B82" s="21"/>
      <c r="C82" s="21"/>
      <c r="D82" s="21"/>
    </row>
    <row r="83" spans="1:4" ht="15" x14ac:dyDescent="0.25">
      <c r="A83" s="21"/>
      <c r="B83" s="21"/>
      <c r="C83" s="21"/>
      <c r="D83" s="21"/>
    </row>
    <row r="84" spans="1:4" ht="15" x14ac:dyDescent="0.25">
      <c r="A84" s="21"/>
      <c r="B84" s="21"/>
      <c r="C84" s="21"/>
      <c r="D84" s="21"/>
    </row>
    <row r="85" spans="1:4" ht="15" x14ac:dyDescent="0.25">
      <c r="A85" s="21"/>
      <c r="B85" s="21"/>
      <c r="C85" s="21"/>
      <c r="D85" s="21"/>
    </row>
    <row r="86" spans="1:4" ht="15" x14ac:dyDescent="0.25">
      <c r="A86" s="21"/>
      <c r="B86" s="21"/>
      <c r="C86" s="21"/>
      <c r="D86" s="21"/>
    </row>
    <row r="87" spans="1:4" ht="15" x14ac:dyDescent="0.25">
      <c r="A87" s="21"/>
      <c r="B87" s="21"/>
      <c r="C87" s="21"/>
      <c r="D87" s="21"/>
    </row>
    <row r="88" spans="1:4" ht="15" x14ac:dyDescent="0.25">
      <c r="A88" s="21"/>
      <c r="B88" s="21"/>
      <c r="C88" s="21"/>
      <c r="D88" s="21"/>
    </row>
    <row r="89" spans="1:4" ht="15" x14ac:dyDescent="0.25">
      <c r="A89" s="21"/>
      <c r="B89" s="21"/>
      <c r="C89" s="21"/>
      <c r="D89" s="21"/>
    </row>
    <row r="90" spans="1:4" ht="15" x14ac:dyDescent="0.25">
      <c r="A90" s="21"/>
      <c r="B90" s="21"/>
      <c r="C90" s="21"/>
      <c r="D90" s="21"/>
    </row>
    <row r="91" spans="1:4" ht="15" x14ac:dyDescent="0.25">
      <c r="A91" s="21"/>
      <c r="B91" s="21"/>
      <c r="C91" s="21"/>
      <c r="D91" s="21"/>
    </row>
    <row r="92" spans="1:4" ht="15" x14ac:dyDescent="0.25">
      <c r="A92" s="21"/>
      <c r="B92" s="21"/>
      <c r="C92" s="21"/>
      <c r="D92" s="21"/>
    </row>
    <row r="93" spans="1:4" ht="15" x14ac:dyDescent="0.25">
      <c r="A93" s="21"/>
      <c r="B93" s="21"/>
      <c r="C93" s="21"/>
      <c r="D93" s="21"/>
    </row>
    <row r="94" spans="1:4" ht="15" x14ac:dyDescent="0.25">
      <c r="A94" s="21"/>
      <c r="B94" s="21"/>
      <c r="C94" s="21"/>
      <c r="D94" s="21"/>
    </row>
    <row r="95" spans="1:4" ht="15" x14ac:dyDescent="0.25">
      <c r="A95" s="21"/>
      <c r="B95" s="21"/>
      <c r="C95" s="21"/>
      <c r="D95" s="21"/>
    </row>
    <row r="96" spans="1:4" ht="15" x14ac:dyDescent="0.25">
      <c r="A96" s="21"/>
      <c r="B96" s="21"/>
      <c r="C96" s="21"/>
      <c r="D96" s="21"/>
    </row>
    <row r="97" spans="1:4" ht="15" x14ac:dyDescent="0.25">
      <c r="A97" s="21"/>
      <c r="B97" s="21"/>
      <c r="C97" s="21"/>
      <c r="D97" s="21"/>
    </row>
    <row r="98" spans="1:4" ht="15" x14ac:dyDescent="0.25">
      <c r="A98" s="21"/>
      <c r="B98" s="21"/>
      <c r="C98" s="21"/>
      <c r="D98" s="21"/>
    </row>
    <row r="99" spans="1:4" ht="15" x14ac:dyDescent="0.25">
      <c r="A99" s="21"/>
      <c r="B99" s="21"/>
      <c r="C99" s="21"/>
      <c r="D99" s="21"/>
    </row>
    <row r="100" spans="1:4" ht="15" x14ac:dyDescent="0.25">
      <c r="A100" s="21"/>
      <c r="B100" s="21"/>
      <c r="C100" s="21"/>
      <c r="D100" s="21"/>
    </row>
    <row r="101" spans="1:4" ht="15" x14ac:dyDescent="0.25">
      <c r="A101" s="21"/>
      <c r="B101" s="21"/>
      <c r="C101" s="21"/>
      <c r="D101" s="21"/>
    </row>
    <row r="102" spans="1:4" ht="15" x14ac:dyDescent="0.25">
      <c r="A102" s="21"/>
      <c r="B102" s="21"/>
      <c r="C102" s="21"/>
      <c r="D102" s="21"/>
    </row>
    <row r="103" spans="1:4" ht="15" x14ac:dyDescent="0.25">
      <c r="A103" s="21"/>
      <c r="B103" s="21"/>
      <c r="C103" s="21"/>
      <c r="D103" s="21"/>
    </row>
    <row r="104" spans="1:4" ht="15" x14ac:dyDescent="0.25">
      <c r="A104" s="21"/>
      <c r="B104" s="21"/>
      <c r="C104" s="21"/>
      <c r="D104" s="21"/>
    </row>
    <row r="105" spans="1:4" ht="15" x14ac:dyDescent="0.25">
      <c r="A105" s="21"/>
      <c r="B105" s="21"/>
      <c r="C105" s="21"/>
      <c r="D105" s="21"/>
    </row>
    <row r="106" spans="1:4" ht="15" x14ac:dyDescent="0.25">
      <c r="A106" s="21"/>
      <c r="B106" s="21"/>
      <c r="C106" s="21"/>
      <c r="D106" s="21"/>
    </row>
    <row r="107" spans="1:4" ht="15" x14ac:dyDescent="0.25">
      <c r="A107" s="21"/>
      <c r="B107" s="21"/>
      <c r="C107" s="21"/>
      <c r="D107" s="21"/>
    </row>
    <row r="108" spans="1:4" ht="15" x14ac:dyDescent="0.25">
      <c r="A108" s="21"/>
      <c r="B108" s="21"/>
      <c r="C108" s="21"/>
      <c r="D108" s="21"/>
    </row>
    <row r="109" spans="1:4" ht="15" x14ac:dyDescent="0.25">
      <c r="A109" s="21"/>
      <c r="B109" s="21"/>
      <c r="C109" s="21"/>
      <c r="D109" s="21"/>
    </row>
    <row r="110" spans="1:4" ht="15" x14ac:dyDescent="0.25">
      <c r="A110" s="21"/>
      <c r="B110" s="21"/>
      <c r="C110" s="21"/>
      <c r="D110" s="21"/>
    </row>
    <row r="111" spans="1:4" ht="15" x14ac:dyDescent="0.25">
      <c r="A111" s="21"/>
      <c r="B111" s="21"/>
      <c r="C111" s="21"/>
      <c r="D111" s="21"/>
    </row>
    <row r="112" spans="1:4" ht="15" x14ac:dyDescent="0.25">
      <c r="A112" s="21"/>
      <c r="B112" s="21"/>
      <c r="C112" s="21"/>
      <c r="D112" s="21"/>
    </row>
    <row r="113" spans="1:4" ht="15" x14ac:dyDescent="0.25">
      <c r="A113" s="21"/>
      <c r="B113" s="21"/>
      <c r="C113" s="21"/>
      <c r="D113" s="21"/>
    </row>
    <row r="114" spans="1:4" ht="15" x14ac:dyDescent="0.25">
      <c r="A114" s="21"/>
      <c r="B114" s="21"/>
      <c r="C114" s="21"/>
      <c r="D114" s="21"/>
    </row>
    <row r="115" spans="1:4" ht="15" x14ac:dyDescent="0.25">
      <c r="A115" s="21"/>
      <c r="B115" s="21"/>
      <c r="C115" s="21"/>
      <c r="D115" s="21"/>
    </row>
    <row r="116" spans="1:4" ht="15" x14ac:dyDescent="0.25">
      <c r="A116" s="21"/>
      <c r="B116" s="21"/>
      <c r="C116" s="21"/>
      <c r="D116" s="21"/>
    </row>
    <row r="117" spans="1:4" ht="15" x14ac:dyDescent="0.25">
      <c r="A117" s="21"/>
      <c r="B117" s="21"/>
      <c r="C117" s="21"/>
      <c r="D117" s="21"/>
    </row>
    <row r="118" spans="1:4" ht="15" x14ac:dyDescent="0.25">
      <c r="A118" s="21"/>
      <c r="B118" s="21"/>
      <c r="C118" s="21"/>
      <c r="D118" s="21"/>
    </row>
    <row r="119" spans="1:4" ht="15" x14ac:dyDescent="0.25">
      <c r="A119" s="21"/>
      <c r="B119" s="21"/>
      <c r="C119" s="21"/>
      <c r="D119" s="21"/>
    </row>
    <row r="120" spans="1:4" ht="15" x14ac:dyDescent="0.25">
      <c r="A120" s="21"/>
      <c r="B120" s="21"/>
      <c r="C120" s="21"/>
      <c r="D120" s="21"/>
    </row>
    <row r="121" spans="1:4" ht="15" x14ac:dyDescent="0.25">
      <c r="A121" s="21"/>
      <c r="B121" s="21"/>
      <c r="C121" s="21"/>
      <c r="D121" s="21"/>
    </row>
    <row r="122" spans="1:4" ht="15" x14ac:dyDescent="0.25">
      <c r="A122" s="21"/>
      <c r="B122" s="21"/>
      <c r="C122" s="21"/>
      <c r="D122" s="21"/>
    </row>
    <row r="123" spans="1:4" ht="15" x14ac:dyDescent="0.25">
      <c r="A123" s="21"/>
      <c r="B123" s="21"/>
      <c r="C123" s="21"/>
      <c r="D123" s="21"/>
    </row>
    <row r="124" spans="1:4" ht="15" x14ac:dyDescent="0.25">
      <c r="A124" s="21"/>
      <c r="B124" s="21"/>
      <c r="C124" s="21"/>
      <c r="D124" s="21"/>
    </row>
    <row r="125" spans="1:4" ht="15" x14ac:dyDescent="0.25">
      <c r="A125" s="21"/>
      <c r="B125" s="21"/>
      <c r="C125" s="21"/>
      <c r="D125" s="21"/>
    </row>
    <row r="126" spans="1:4" ht="15" x14ac:dyDescent="0.25">
      <c r="A126" s="21"/>
      <c r="B126" s="21"/>
      <c r="C126" s="21"/>
      <c r="D126" s="21"/>
    </row>
    <row r="127" spans="1:4" ht="15" x14ac:dyDescent="0.25">
      <c r="A127" s="21"/>
      <c r="B127" s="21"/>
      <c r="C127" s="21"/>
      <c r="D127" s="21"/>
    </row>
    <row r="128" spans="1:4" ht="15" x14ac:dyDescent="0.25">
      <c r="A128" s="21"/>
      <c r="B128" s="21"/>
      <c r="C128" s="21"/>
      <c r="D128" s="21"/>
    </row>
    <row r="129" spans="1:4" ht="15" x14ac:dyDescent="0.25">
      <c r="A129" s="21"/>
      <c r="B129" s="21"/>
      <c r="C129" s="21"/>
      <c r="D129" s="21"/>
    </row>
    <row r="130" spans="1:4" ht="15" x14ac:dyDescent="0.25">
      <c r="A130" s="21"/>
      <c r="B130" s="21"/>
      <c r="C130" s="21"/>
      <c r="D130" s="21"/>
    </row>
    <row r="131" spans="1:4" ht="15" x14ac:dyDescent="0.25">
      <c r="A131" s="21"/>
      <c r="B131" s="21"/>
      <c r="C131" s="21"/>
      <c r="D131" s="21"/>
    </row>
    <row r="132" spans="1:4" ht="15" x14ac:dyDescent="0.25">
      <c r="A132" s="21"/>
      <c r="B132" s="21"/>
      <c r="C132" s="21"/>
      <c r="D132" s="21"/>
    </row>
    <row r="133" spans="1:4" ht="15" x14ac:dyDescent="0.25">
      <c r="A133" s="21"/>
      <c r="B133" s="21"/>
      <c r="C133" s="21"/>
      <c r="D133" s="21"/>
    </row>
    <row r="134" spans="1:4" ht="15" x14ac:dyDescent="0.25">
      <c r="A134" s="21"/>
      <c r="B134" s="21"/>
      <c r="C134" s="21"/>
      <c r="D134" s="21"/>
    </row>
    <row r="135" spans="1:4" ht="15" x14ac:dyDescent="0.25">
      <c r="A135" s="21"/>
      <c r="B135" s="21"/>
      <c r="C135" s="21"/>
      <c r="D135" s="21"/>
    </row>
    <row r="136" spans="1:4" ht="15" x14ac:dyDescent="0.25">
      <c r="A136" s="21"/>
      <c r="B136" s="21"/>
      <c r="C136" s="21"/>
      <c r="D136" s="21"/>
    </row>
    <row r="137" spans="1:4" ht="15" x14ac:dyDescent="0.25">
      <c r="A137" s="21"/>
      <c r="B137" s="21"/>
      <c r="C137" s="21"/>
      <c r="D137" s="21"/>
    </row>
    <row r="138" spans="1:4" ht="15" x14ac:dyDescent="0.25">
      <c r="A138" s="21"/>
      <c r="B138" s="21"/>
      <c r="C138" s="21"/>
      <c r="D138" s="21"/>
    </row>
    <row r="139" spans="1:4" ht="15" x14ac:dyDescent="0.25">
      <c r="A139" s="21"/>
      <c r="B139" s="21"/>
      <c r="C139" s="21"/>
      <c r="D139" s="21"/>
    </row>
    <row r="140" spans="1:4" ht="15" x14ac:dyDescent="0.25">
      <c r="A140" s="21"/>
      <c r="B140" s="21"/>
      <c r="C140" s="21"/>
      <c r="D140" s="21"/>
    </row>
    <row r="141" spans="1:4" ht="15" x14ac:dyDescent="0.25">
      <c r="A141" s="21"/>
      <c r="B141" s="21"/>
      <c r="C141" s="21"/>
      <c r="D141" s="21"/>
    </row>
    <row r="142" spans="1:4" ht="15" x14ac:dyDescent="0.25">
      <c r="A142" s="21"/>
      <c r="B142" s="21"/>
      <c r="C142" s="21"/>
      <c r="D142" s="21"/>
    </row>
    <row r="143" spans="1:4" ht="15" x14ac:dyDescent="0.25">
      <c r="A143" s="21"/>
      <c r="B143" s="21"/>
      <c r="C143" s="21"/>
      <c r="D143" s="21"/>
    </row>
    <row r="144" spans="1:4" ht="15" x14ac:dyDescent="0.25">
      <c r="A144" s="21"/>
      <c r="B144" s="21"/>
      <c r="C144" s="21"/>
      <c r="D144" s="21"/>
    </row>
    <row r="145" spans="1:4" ht="15" x14ac:dyDescent="0.25">
      <c r="A145" s="21"/>
      <c r="B145" s="21"/>
      <c r="C145" s="21"/>
      <c r="D145" s="21"/>
    </row>
    <row r="146" spans="1:4" ht="15" x14ac:dyDescent="0.25">
      <c r="A146" s="21"/>
      <c r="B146" s="21"/>
      <c r="C146" s="21"/>
      <c r="D146" s="21"/>
    </row>
    <row r="147" spans="1:4" ht="15" x14ac:dyDescent="0.25">
      <c r="A147" s="21"/>
      <c r="B147" s="21"/>
      <c r="C147" s="21"/>
      <c r="D147" s="21"/>
    </row>
    <row r="148" spans="1:4" ht="15" x14ac:dyDescent="0.25">
      <c r="A148" s="21"/>
      <c r="B148" s="21"/>
      <c r="C148" s="21"/>
      <c r="D148" s="21"/>
    </row>
    <row r="149" spans="1:4" ht="15" x14ac:dyDescent="0.25">
      <c r="A149" s="21"/>
      <c r="B149" s="21"/>
      <c r="C149" s="21"/>
      <c r="D149" s="21"/>
    </row>
    <row r="150" spans="1:4" ht="15" x14ac:dyDescent="0.25">
      <c r="A150" s="21"/>
      <c r="B150" s="21"/>
      <c r="C150" s="21"/>
      <c r="D150" s="21"/>
    </row>
    <row r="151" spans="1:4" ht="15" x14ac:dyDescent="0.25">
      <c r="A151" s="21"/>
      <c r="B151" s="21"/>
      <c r="C151" s="21"/>
      <c r="D151" s="21"/>
    </row>
    <row r="152" spans="1:4" ht="15" x14ac:dyDescent="0.25">
      <c r="A152" s="21"/>
      <c r="B152" s="21"/>
      <c r="C152" s="21"/>
      <c r="D152" s="21"/>
    </row>
    <row r="153" spans="1:4" ht="15" x14ac:dyDescent="0.25">
      <c r="A153" s="21"/>
      <c r="B153" s="21"/>
      <c r="C153" s="21"/>
      <c r="D153" s="21"/>
    </row>
    <row r="154" spans="1:4" ht="15" x14ac:dyDescent="0.25">
      <c r="A154" s="21"/>
      <c r="B154" s="21"/>
      <c r="C154" s="21"/>
      <c r="D154" s="21"/>
    </row>
    <row r="155" spans="1:4" ht="15" x14ac:dyDescent="0.25">
      <c r="A155" s="21"/>
      <c r="B155" s="21"/>
      <c r="C155" s="21"/>
      <c r="D155" s="21"/>
    </row>
    <row r="156" spans="1:4" ht="15" x14ac:dyDescent="0.25">
      <c r="A156" s="21"/>
      <c r="B156" s="21"/>
      <c r="C156" s="21"/>
      <c r="D156" s="21"/>
    </row>
    <row r="157" spans="1:4" ht="15" x14ac:dyDescent="0.25">
      <c r="A157" s="21"/>
      <c r="B157" s="21"/>
      <c r="C157" s="21"/>
      <c r="D157" s="21"/>
    </row>
    <row r="158" spans="1:4" ht="15" x14ac:dyDescent="0.25">
      <c r="A158" s="21"/>
      <c r="B158" s="21"/>
      <c r="C158" s="21"/>
      <c r="D158" s="21"/>
    </row>
    <row r="159" spans="1:4" ht="15" x14ac:dyDescent="0.25">
      <c r="A159" s="21"/>
      <c r="B159" s="21"/>
      <c r="C159" s="21"/>
      <c r="D159" s="21"/>
    </row>
    <row r="160" spans="1:4" ht="15" x14ac:dyDescent="0.25">
      <c r="A160" s="21"/>
      <c r="B160" s="21"/>
      <c r="C160" s="21"/>
      <c r="D160" s="21"/>
    </row>
    <row r="161" spans="1:4" ht="15" x14ac:dyDescent="0.25">
      <c r="A161" s="21"/>
      <c r="B161" s="21"/>
      <c r="C161" s="21"/>
      <c r="D161" s="21"/>
    </row>
    <row r="162" spans="1:4" ht="15" x14ac:dyDescent="0.25">
      <c r="A162" s="21"/>
      <c r="B162" s="21"/>
      <c r="C162" s="21"/>
      <c r="D162" s="21"/>
    </row>
    <row r="163" spans="1:4" ht="15" x14ac:dyDescent="0.25">
      <c r="A163" s="21"/>
      <c r="B163" s="21"/>
      <c r="C163" s="21"/>
      <c r="D163" s="21"/>
    </row>
    <row r="164" spans="1:4" ht="15" x14ac:dyDescent="0.25">
      <c r="A164" s="21"/>
      <c r="B164" s="21"/>
      <c r="C164" s="21"/>
      <c r="D164" s="21"/>
    </row>
    <row r="165" spans="1:4" ht="15" x14ac:dyDescent="0.25">
      <c r="A165" s="21"/>
      <c r="B165" s="21"/>
      <c r="C165" s="21"/>
      <c r="D165" s="21"/>
    </row>
    <row r="166" spans="1:4" ht="15" x14ac:dyDescent="0.25">
      <c r="A166" s="21"/>
      <c r="B166" s="21"/>
      <c r="C166" s="21"/>
      <c r="D166" s="21"/>
    </row>
    <row r="167" spans="1:4" ht="15" x14ac:dyDescent="0.25">
      <c r="A167" s="21"/>
      <c r="B167" s="21"/>
      <c r="C167" s="21"/>
      <c r="D167" s="21"/>
    </row>
    <row r="168" spans="1:4" ht="15" x14ac:dyDescent="0.25">
      <c r="A168" s="21"/>
      <c r="B168" s="21"/>
      <c r="C168" s="21"/>
      <c r="D168" s="21"/>
    </row>
    <row r="169" spans="1:4" ht="15" x14ac:dyDescent="0.25">
      <c r="A169" s="21"/>
      <c r="B169" s="21"/>
      <c r="C169" s="21"/>
      <c r="D169" s="21"/>
    </row>
    <row r="170" spans="1:4" ht="15" x14ac:dyDescent="0.25">
      <c r="A170" s="21"/>
      <c r="B170" s="21"/>
      <c r="C170" s="21"/>
      <c r="D170" s="21"/>
    </row>
    <row r="171" spans="1:4" ht="15" x14ac:dyDescent="0.25">
      <c r="A171" s="21"/>
      <c r="B171" s="21"/>
      <c r="C171" s="21"/>
      <c r="D171" s="21"/>
    </row>
    <row r="172" spans="1:4" ht="15" x14ac:dyDescent="0.25">
      <c r="A172" s="21"/>
      <c r="B172" s="21"/>
      <c r="C172" s="21"/>
      <c r="D172" s="21"/>
    </row>
    <row r="173" spans="1:4" ht="15" x14ac:dyDescent="0.25">
      <c r="A173" s="21"/>
      <c r="B173" s="21"/>
      <c r="C173" s="21"/>
      <c r="D173" s="21"/>
    </row>
    <row r="174" spans="1:4" ht="15" x14ac:dyDescent="0.25">
      <c r="A174" s="21"/>
      <c r="B174" s="21"/>
      <c r="C174" s="21"/>
      <c r="D174" s="21"/>
    </row>
    <row r="175" spans="1:4" ht="15" x14ac:dyDescent="0.25">
      <c r="A175" s="21"/>
      <c r="B175" s="21"/>
      <c r="C175" s="21"/>
      <c r="D175" s="21"/>
    </row>
    <row r="176" spans="1:4" ht="15" x14ac:dyDescent="0.25">
      <c r="A176" s="21"/>
      <c r="B176" s="21"/>
      <c r="C176" s="21"/>
      <c r="D176" s="21"/>
    </row>
    <row r="177" spans="1:4" ht="15" x14ac:dyDescent="0.25">
      <c r="A177" s="21"/>
      <c r="B177" s="21"/>
      <c r="C177" s="21"/>
      <c r="D177" s="21"/>
    </row>
    <row r="178" spans="1:4" ht="15" x14ac:dyDescent="0.25">
      <c r="A178" s="21"/>
      <c r="B178" s="21"/>
      <c r="C178" s="21"/>
      <c r="D178" s="21"/>
    </row>
    <row r="179" spans="1:4" ht="15" x14ac:dyDescent="0.25">
      <c r="A179" s="21"/>
      <c r="B179" s="21"/>
      <c r="C179" s="21"/>
      <c r="D179" s="21"/>
    </row>
    <row r="180" spans="1:4" ht="15" x14ac:dyDescent="0.25">
      <c r="A180" s="21"/>
      <c r="B180" s="21"/>
      <c r="C180" s="21"/>
      <c r="D180" s="21"/>
    </row>
    <row r="181" spans="1:4" ht="15" x14ac:dyDescent="0.25">
      <c r="A181" s="21"/>
      <c r="B181" s="21"/>
      <c r="C181" s="21"/>
      <c r="D181" s="21"/>
    </row>
    <row r="182" spans="1:4" ht="15" x14ac:dyDescent="0.25">
      <c r="A182" s="21"/>
      <c r="B182" s="21"/>
      <c r="C182" s="21"/>
      <c r="D182" s="21"/>
    </row>
    <row r="183" spans="1:4" ht="15" x14ac:dyDescent="0.25">
      <c r="A183" s="21"/>
      <c r="B183" s="21"/>
      <c r="C183" s="21"/>
      <c r="D183" s="21"/>
    </row>
    <row r="184" spans="1:4" ht="15" x14ac:dyDescent="0.25">
      <c r="A184" s="21"/>
      <c r="B184" s="21"/>
      <c r="C184" s="21"/>
      <c r="D184" s="21"/>
    </row>
    <row r="185" spans="1:4" ht="15" x14ac:dyDescent="0.25">
      <c r="A185" s="21"/>
      <c r="B185" s="21"/>
      <c r="C185" s="21"/>
      <c r="D185" s="21"/>
    </row>
    <row r="186" spans="1:4" ht="15" x14ac:dyDescent="0.25">
      <c r="A186" s="21"/>
      <c r="B186" s="21"/>
      <c r="C186" s="21"/>
      <c r="D186" s="21"/>
    </row>
    <row r="187" spans="1:4" ht="15" x14ac:dyDescent="0.25">
      <c r="A187" s="21"/>
      <c r="B187" s="21"/>
      <c r="C187" s="21"/>
      <c r="D187" s="21"/>
    </row>
    <row r="188" spans="1:4" ht="15" x14ac:dyDescent="0.25">
      <c r="A188" s="21"/>
      <c r="B188" s="21"/>
      <c r="C188" s="21"/>
      <c r="D188" s="21"/>
    </row>
    <row r="189" spans="1:4" ht="15" x14ac:dyDescent="0.25">
      <c r="A189" s="21"/>
      <c r="B189" s="21"/>
      <c r="C189" s="21"/>
      <c r="D189" s="21"/>
    </row>
    <row r="190" spans="1:4" ht="15" x14ac:dyDescent="0.25">
      <c r="A190" s="21"/>
      <c r="B190" s="21"/>
      <c r="C190" s="21"/>
      <c r="D190" s="21"/>
    </row>
    <row r="191" spans="1:4" ht="15" x14ac:dyDescent="0.25">
      <c r="A191" s="21"/>
      <c r="B191" s="21"/>
      <c r="C191" s="21"/>
      <c r="D191" s="21"/>
    </row>
    <row r="192" spans="1:4" ht="15" x14ac:dyDescent="0.25">
      <c r="A192" s="21"/>
      <c r="B192" s="21"/>
      <c r="C192" s="21"/>
      <c r="D192" s="21"/>
    </row>
    <row r="193" spans="1:4" ht="15" x14ac:dyDescent="0.25">
      <c r="A193" s="21"/>
      <c r="B193" s="21"/>
      <c r="C193" s="21"/>
      <c r="D193" s="21"/>
    </row>
    <row r="194" spans="1:4" ht="15" x14ac:dyDescent="0.25">
      <c r="A194" s="21"/>
      <c r="B194" s="21"/>
      <c r="C194" s="21"/>
      <c r="D194" s="21"/>
    </row>
    <row r="195" spans="1:4" ht="15" x14ac:dyDescent="0.25">
      <c r="A195" s="21"/>
      <c r="B195" s="21"/>
      <c r="C195" s="21"/>
      <c r="D195" s="21"/>
    </row>
    <row r="196" spans="1:4" ht="15" x14ac:dyDescent="0.25">
      <c r="A196" s="21"/>
      <c r="B196" s="21"/>
      <c r="C196" s="21"/>
      <c r="D196" s="21"/>
    </row>
    <row r="197" spans="1:4" ht="15" x14ac:dyDescent="0.25">
      <c r="A197" s="21"/>
      <c r="B197" s="21"/>
      <c r="C197" s="21"/>
      <c r="D197" s="21"/>
    </row>
    <row r="198" spans="1:4" ht="15" x14ac:dyDescent="0.25">
      <c r="A198" s="21"/>
      <c r="B198" s="21"/>
      <c r="C198" s="21"/>
      <c r="D198" s="21"/>
    </row>
    <row r="199" spans="1:4" ht="15" x14ac:dyDescent="0.25">
      <c r="A199" s="21"/>
      <c r="B199" s="21"/>
      <c r="C199" s="21"/>
      <c r="D199" s="21"/>
    </row>
    <row r="200" spans="1:4" ht="15" x14ac:dyDescent="0.25">
      <c r="A200" s="21"/>
      <c r="B200" s="21"/>
      <c r="C200" s="21"/>
      <c r="D200" s="21"/>
    </row>
    <row r="201" spans="1:4" ht="15" x14ac:dyDescent="0.25">
      <c r="A201" s="21"/>
      <c r="B201" s="21"/>
      <c r="C201" s="21"/>
      <c r="D201" s="21"/>
    </row>
    <row r="202" spans="1:4" ht="15" x14ac:dyDescent="0.25">
      <c r="A202" s="21"/>
      <c r="B202" s="21"/>
      <c r="C202" s="21"/>
      <c r="D202" s="21"/>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ED46"/>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x14ac:dyDescent="0.25"/>
  <cols>
    <col min="1" max="1" width="2.7109375" style="21" customWidth="1"/>
    <col min="2" max="2" width="32.28515625" style="21" customWidth="1"/>
    <col min="3" max="3" width="9.140625" style="21" customWidth="1"/>
    <col min="4" max="4" width="10.7109375" style="21" customWidth="1"/>
    <col min="5" max="5" width="29.85546875" style="40" customWidth="1"/>
    <col min="6" max="6" width="30.42578125" style="21" customWidth="1"/>
    <col min="7" max="7" width="2.7109375" style="21" customWidth="1"/>
    <col min="8" max="8" width="6.140625" style="21" hidden="1" customWidth="1"/>
    <col min="9" max="64" width="2.5703125" style="21" customWidth="1"/>
    <col min="65" max="134" width="3" style="21" customWidth="1"/>
    <col min="135" max="16384" width="9.140625" style="21"/>
  </cols>
  <sheetData>
    <row r="1" spans="1:134" ht="28.5" x14ac:dyDescent="0.45">
      <c r="B1" s="61" t="s">
        <v>0</v>
      </c>
      <c r="C1" s="29"/>
      <c r="D1" s="30"/>
      <c r="E1" s="31"/>
      <c r="F1" s="32"/>
      <c r="H1" s="30"/>
      <c r="I1" s="20" t="str">
        <f>HYPERLINK("#'Projects'!A1","◄ All projects")</f>
        <v>◄ All projects</v>
      </c>
      <c r="J1" s="20"/>
      <c r="K1" s="20"/>
      <c r="L1" s="20"/>
      <c r="M1" s="20"/>
      <c r="N1" s="20"/>
      <c r="O1" s="17"/>
      <c r="P1" s="17"/>
      <c r="Q1" s="17"/>
      <c r="R1" s="17"/>
      <c r="S1" s="17"/>
      <c r="T1" s="17"/>
      <c r="U1" s="17"/>
      <c r="V1" s="17"/>
      <c r="W1" s="17"/>
      <c r="X1" s="17"/>
      <c r="Y1" s="17"/>
      <c r="Z1" s="17"/>
      <c r="AA1" s="17"/>
    </row>
    <row r="2" spans="1:134" ht="19.5" customHeight="1" x14ac:dyDescent="0.3">
      <c r="B2" s="33" t="s">
        <v>1</v>
      </c>
      <c r="D2" s="34" t="s">
        <v>2</v>
      </c>
      <c r="E2" s="63">
        <v>45313</v>
      </c>
      <c r="F2" s="64"/>
    </row>
    <row r="3" spans="1:134" ht="19.5" customHeight="1" x14ac:dyDescent="0.3">
      <c r="B3" s="62" t="s">
        <v>3</v>
      </c>
      <c r="D3" s="34" t="s">
        <v>4</v>
      </c>
      <c r="E3" s="35">
        <f ca="1">TODAY()</f>
        <v>46317</v>
      </c>
      <c r="F3" s="3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7" t="s">
        <v>5</v>
      </c>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t="s">
        <v>6</v>
      </c>
      <c r="BU3" s="66"/>
      <c r="BV3" s="66"/>
      <c r="BW3" s="66"/>
      <c r="BX3" s="66"/>
      <c r="BY3" s="66"/>
      <c r="BZ3" s="66"/>
      <c r="CA3" s="66"/>
      <c r="CB3" s="66"/>
      <c r="CC3" s="66"/>
      <c r="CD3" s="66"/>
      <c r="CE3" s="66"/>
      <c r="CF3" s="66"/>
      <c r="CG3" s="66"/>
      <c r="CH3" s="66"/>
      <c r="CI3" s="66"/>
      <c r="CJ3" s="66"/>
      <c r="CK3" s="66"/>
      <c r="CL3" s="66"/>
      <c r="CM3" s="66"/>
      <c r="CN3" s="66"/>
      <c r="CO3" s="66" t="s">
        <v>7</v>
      </c>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row>
    <row r="4" spans="1:134" ht="19.5" customHeight="1" x14ac:dyDescent="0.25">
      <c r="D4" s="34" t="s">
        <v>8</v>
      </c>
      <c r="E4" s="65">
        <v>1</v>
      </c>
      <c r="I4" s="37">
        <f>I5</f>
        <v>45313</v>
      </c>
      <c r="J4" s="38"/>
      <c r="K4" s="38"/>
      <c r="L4" s="38"/>
      <c r="M4" s="38"/>
      <c r="N4" s="38"/>
      <c r="O4" s="39"/>
      <c r="P4" s="37">
        <f>P5</f>
        <v>45320</v>
      </c>
      <c r="Q4" s="38"/>
      <c r="R4" s="38"/>
      <c r="S4" s="38"/>
      <c r="T4" s="38"/>
      <c r="U4" s="38"/>
      <c r="V4" s="39"/>
      <c r="W4" s="37">
        <f>W5</f>
        <v>45327</v>
      </c>
      <c r="X4" s="38"/>
      <c r="Y4" s="38"/>
      <c r="Z4" s="38"/>
      <c r="AA4" s="38"/>
      <c r="AB4" s="38"/>
      <c r="AC4" s="39"/>
      <c r="AD4" s="37">
        <f>AD5</f>
        <v>45334</v>
      </c>
      <c r="AE4" s="38"/>
      <c r="AF4" s="38"/>
      <c r="AG4" s="38"/>
      <c r="AH4" s="38"/>
      <c r="AI4" s="38"/>
      <c r="AJ4" s="39"/>
      <c r="AK4" s="37">
        <f>AK5</f>
        <v>45341</v>
      </c>
      <c r="AL4" s="38"/>
      <c r="AM4" s="38"/>
      <c r="AN4" s="38"/>
      <c r="AO4" s="38"/>
      <c r="AP4" s="38"/>
      <c r="AQ4" s="39"/>
      <c r="AR4" s="37">
        <f>AR5</f>
        <v>45348</v>
      </c>
      <c r="AS4" s="38"/>
      <c r="AT4" s="38"/>
      <c r="AU4" s="38"/>
      <c r="AV4" s="38"/>
      <c r="AW4" s="38"/>
      <c r="AX4" s="39"/>
      <c r="AY4" s="37">
        <f>AY5</f>
        <v>45355</v>
      </c>
      <c r="AZ4" s="38"/>
      <c r="BA4" s="38"/>
      <c r="BB4" s="38"/>
      <c r="BC4" s="38"/>
      <c r="BD4" s="38"/>
      <c r="BE4" s="39"/>
      <c r="BF4" s="37">
        <f>BF5</f>
        <v>45362</v>
      </c>
      <c r="BG4" s="38"/>
      <c r="BH4" s="38"/>
      <c r="BI4" s="38"/>
      <c r="BJ4" s="38"/>
      <c r="BK4" s="38"/>
      <c r="BL4" s="39"/>
      <c r="BM4" s="37">
        <f>BM5</f>
        <v>45369</v>
      </c>
      <c r="BN4" s="38"/>
      <c r="BO4" s="38"/>
      <c r="BP4" s="38"/>
      <c r="BQ4" s="38"/>
      <c r="BR4" s="38"/>
      <c r="BS4" s="39"/>
      <c r="BT4" s="37">
        <f>BT5</f>
        <v>45376</v>
      </c>
      <c r="BU4" s="38"/>
      <c r="BV4" s="38"/>
      <c r="BW4" s="38"/>
      <c r="BX4" s="38"/>
      <c r="BY4" s="38"/>
      <c r="BZ4" s="39"/>
      <c r="CA4" s="37">
        <f>CA5</f>
        <v>45383</v>
      </c>
      <c r="CB4" s="38"/>
      <c r="CC4" s="38"/>
      <c r="CD4" s="38"/>
      <c r="CE4" s="38"/>
      <c r="CF4" s="38"/>
      <c r="CG4" s="39"/>
      <c r="CH4" s="37">
        <f>CH5</f>
        <v>45390</v>
      </c>
      <c r="CI4" s="38"/>
      <c r="CJ4" s="38"/>
      <c r="CK4" s="38"/>
      <c r="CL4" s="38"/>
      <c r="CM4" s="38"/>
      <c r="CN4" s="39"/>
      <c r="CO4" s="37">
        <f>CO5</f>
        <v>45397</v>
      </c>
      <c r="CP4" s="38"/>
      <c r="CQ4" s="38"/>
      <c r="CR4" s="38"/>
      <c r="CS4" s="38"/>
      <c r="CT4" s="38"/>
      <c r="CU4" s="39"/>
      <c r="CV4" s="37">
        <f>CV5</f>
        <v>45404</v>
      </c>
      <c r="CW4" s="38"/>
      <c r="CX4" s="38"/>
      <c r="CY4" s="38"/>
      <c r="CZ4" s="38"/>
      <c r="DA4" s="38"/>
      <c r="DB4" s="39"/>
      <c r="DC4" s="37">
        <f>DC5</f>
        <v>45411</v>
      </c>
      <c r="DD4" s="38"/>
      <c r="DE4" s="38"/>
      <c r="DF4" s="38"/>
      <c r="DG4" s="38"/>
      <c r="DH4" s="38"/>
      <c r="DI4" s="39"/>
      <c r="DJ4" s="37">
        <f>DJ5</f>
        <v>45418</v>
      </c>
      <c r="DK4" s="38"/>
      <c r="DL4" s="38"/>
      <c r="DM4" s="38"/>
      <c r="DN4" s="38"/>
      <c r="DO4" s="38"/>
      <c r="DP4" s="39"/>
      <c r="DQ4" s="37">
        <f>DQ5</f>
        <v>45425</v>
      </c>
      <c r="DR4" s="38"/>
      <c r="DS4" s="38"/>
      <c r="DT4" s="38"/>
      <c r="DU4" s="38"/>
      <c r="DV4" s="38"/>
      <c r="DW4" s="39"/>
      <c r="DX4" s="37">
        <f>DX5</f>
        <v>45432</v>
      </c>
      <c r="DY4" s="38"/>
      <c r="DZ4" s="38"/>
      <c r="EA4" s="38"/>
      <c r="EB4" s="38"/>
      <c r="EC4" s="38"/>
      <c r="ED4" s="39"/>
    </row>
    <row r="5" spans="1:134" x14ac:dyDescent="0.25">
      <c r="A5" s="34"/>
      <c r="G5" s="34"/>
      <c r="I5" s="41">
        <f>E2-WEEKDAY(E2,1)+2+7*(E4-1)</f>
        <v>45313</v>
      </c>
      <c r="J5" s="42">
        <f>I5+1</f>
        <v>45314</v>
      </c>
      <c r="K5" s="42">
        <f t="shared" ref="K5:AX5" si="0">J5+1</f>
        <v>45315</v>
      </c>
      <c r="L5" s="42">
        <f t="shared" si="0"/>
        <v>45316</v>
      </c>
      <c r="M5" s="42">
        <f t="shared" si="0"/>
        <v>45317</v>
      </c>
      <c r="N5" s="42">
        <f t="shared" si="0"/>
        <v>45318</v>
      </c>
      <c r="O5" s="43">
        <f t="shared" si="0"/>
        <v>45319</v>
      </c>
      <c r="P5" s="41">
        <f>O5+1</f>
        <v>45320</v>
      </c>
      <c r="Q5" s="42">
        <f>P5+1</f>
        <v>45321</v>
      </c>
      <c r="R5" s="42">
        <f t="shared" si="0"/>
        <v>45322</v>
      </c>
      <c r="S5" s="42">
        <f t="shared" si="0"/>
        <v>45323</v>
      </c>
      <c r="T5" s="42">
        <f t="shared" si="0"/>
        <v>45324</v>
      </c>
      <c r="U5" s="42">
        <f t="shared" si="0"/>
        <v>45325</v>
      </c>
      <c r="V5" s="43">
        <f t="shared" si="0"/>
        <v>45326</v>
      </c>
      <c r="W5" s="41">
        <f>V5+1</f>
        <v>45327</v>
      </c>
      <c r="X5" s="42">
        <f>W5+1</f>
        <v>45328</v>
      </c>
      <c r="Y5" s="42">
        <f t="shared" si="0"/>
        <v>45329</v>
      </c>
      <c r="Z5" s="42">
        <f t="shared" si="0"/>
        <v>45330</v>
      </c>
      <c r="AA5" s="42">
        <f t="shared" si="0"/>
        <v>45331</v>
      </c>
      <c r="AB5" s="42">
        <f t="shared" si="0"/>
        <v>45332</v>
      </c>
      <c r="AC5" s="43">
        <f t="shared" si="0"/>
        <v>45333</v>
      </c>
      <c r="AD5" s="41">
        <f>AC5+1</f>
        <v>45334</v>
      </c>
      <c r="AE5" s="42">
        <f>AD5+1</f>
        <v>45335</v>
      </c>
      <c r="AF5" s="42">
        <f t="shared" si="0"/>
        <v>45336</v>
      </c>
      <c r="AG5" s="42">
        <f t="shared" si="0"/>
        <v>45337</v>
      </c>
      <c r="AH5" s="42">
        <f t="shared" si="0"/>
        <v>45338</v>
      </c>
      <c r="AI5" s="42">
        <f t="shared" si="0"/>
        <v>45339</v>
      </c>
      <c r="AJ5" s="43">
        <f t="shared" si="0"/>
        <v>45340</v>
      </c>
      <c r="AK5" s="41">
        <f>AJ5+1</f>
        <v>45341</v>
      </c>
      <c r="AL5" s="42">
        <f>AK5+1</f>
        <v>45342</v>
      </c>
      <c r="AM5" s="42">
        <f t="shared" si="0"/>
        <v>45343</v>
      </c>
      <c r="AN5" s="42">
        <f t="shared" si="0"/>
        <v>45344</v>
      </c>
      <c r="AO5" s="42">
        <f t="shared" si="0"/>
        <v>45345</v>
      </c>
      <c r="AP5" s="42">
        <f t="shared" si="0"/>
        <v>45346</v>
      </c>
      <c r="AQ5" s="43">
        <f t="shared" si="0"/>
        <v>45347</v>
      </c>
      <c r="AR5" s="41">
        <f>AQ5+1</f>
        <v>45348</v>
      </c>
      <c r="AS5" s="42">
        <f>AR5+1</f>
        <v>45349</v>
      </c>
      <c r="AT5" s="42">
        <f t="shared" si="0"/>
        <v>45350</v>
      </c>
      <c r="AU5" s="44">
        <f t="shared" si="0"/>
        <v>45351</v>
      </c>
      <c r="AV5" s="42">
        <f t="shared" si="0"/>
        <v>45352</v>
      </c>
      <c r="AW5" s="42">
        <f t="shared" si="0"/>
        <v>45353</v>
      </c>
      <c r="AX5" s="43">
        <f t="shared" si="0"/>
        <v>45354</v>
      </c>
      <c r="AY5" s="41">
        <f>AX5+1</f>
        <v>45355</v>
      </c>
      <c r="AZ5" s="42">
        <f>AY5+1</f>
        <v>45356</v>
      </c>
      <c r="BA5" s="42">
        <f t="shared" ref="BA5:BE5" si="1">AZ5+1</f>
        <v>45357</v>
      </c>
      <c r="BB5" s="42">
        <f t="shared" si="1"/>
        <v>45358</v>
      </c>
      <c r="BC5" s="42">
        <f t="shared" si="1"/>
        <v>45359</v>
      </c>
      <c r="BD5" s="42">
        <f t="shared" si="1"/>
        <v>45360</v>
      </c>
      <c r="BE5" s="43">
        <f t="shared" si="1"/>
        <v>45361</v>
      </c>
      <c r="BF5" s="41">
        <f>BE5+1</f>
        <v>45362</v>
      </c>
      <c r="BG5" s="42">
        <f>BF5+1</f>
        <v>45363</v>
      </c>
      <c r="BH5" s="42">
        <f t="shared" ref="BH5:BL5" si="2">BG5+1</f>
        <v>45364</v>
      </c>
      <c r="BI5" s="42">
        <f t="shared" si="2"/>
        <v>45365</v>
      </c>
      <c r="BJ5" s="42">
        <f t="shared" si="2"/>
        <v>45366</v>
      </c>
      <c r="BK5" s="42">
        <f t="shared" si="2"/>
        <v>45367</v>
      </c>
      <c r="BL5" s="43">
        <f t="shared" si="2"/>
        <v>45368</v>
      </c>
      <c r="BM5" s="41">
        <f>BL5+1</f>
        <v>45369</v>
      </c>
      <c r="BN5" s="42">
        <f>BM5+1</f>
        <v>45370</v>
      </c>
      <c r="BO5" s="42">
        <f t="shared" ref="BO5" si="3">BN5+1</f>
        <v>45371</v>
      </c>
      <c r="BP5" s="42">
        <f t="shared" ref="BP5" si="4">BO5+1</f>
        <v>45372</v>
      </c>
      <c r="BQ5" s="42">
        <f t="shared" ref="BQ5" si="5">BP5+1</f>
        <v>45373</v>
      </c>
      <c r="BR5" s="42">
        <f t="shared" ref="BR5" si="6">BQ5+1</f>
        <v>45374</v>
      </c>
      <c r="BS5" s="43">
        <f t="shared" ref="BS5" si="7">BR5+1</f>
        <v>45375</v>
      </c>
      <c r="BT5" s="41">
        <f t="shared" ref="BT5:CY5" si="8">BS5+1</f>
        <v>45376</v>
      </c>
      <c r="BU5" s="42">
        <f t="shared" si="8"/>
        <v>45377</v>
      </c>
      <c r="BV5" s="42">
        <f t="shared" si="8"/>
        <v>45378</v>
      </c>
      <c r="BW5" s="42">
        <f t="shared" si="8"/>
        <v>45379</v>
      </c>
      <c r="BX5" s="44">
        <f t="shared" si="8"/>
        <v>45380</v>
      </c>
      <c r="BY5" s="42">
        <f t="shared" si="8"/>
        <v>45381</v>
      </c>
      <c r="BZ5" s="43">
        <f t="shared" si="8"/>
        <v>45382</v>
      </c>
      <c r="CA5" s="41">
        <f t="shared" si="8"/>
        <v>45383</v>
      </c>
      <c r="CB5" s="42">
        <f t="shared" si="8"/>
        <v>45384</v>
      </c>
      <c r="CC5" s="42">
        <f t="shared" si="8"/>
        <v>45385</v>
      </c>
      <c r="CD5" s="42">
        <f t="shared" si="8"/>
        <v>45386</v>
      </c>
      <c r="CE5" s="42">
        <f t="shared" si="8"/>
        <v>45387</v>
      </c>
      <c r="CF5" s="42">
        <f t="shared" si="8"/>
        <v>45388</v>
      </c>
      <c r="CG5" s="43">
        <f t="shared" si="8"/>
        <v>45389</v>
      </c>
      <c r="CH5" s="41">
        <f t="shared" si="8"/>
        <v>45390</v>
      </c>
      <c r="CI5" s="42">
        <f t="shared" si="8"/>
        <v>45391</v>
      </c>
      <c r="CJ5" s="42">
        <f t="shared" si="8"/>
        <v>45392</v>
      </c>
      <c r="CK5" s="42">
        <f t="shared" si="8"/>
        <v>45393</v>
      </c>
      <c r="CL5" s="42">
        <f t="shared" si="8"/>
        <v>45394</v>
      </c>
      <c r="CM5" s="42">
        <f t="shared" si="8"/>
        <v>45395</v>
      </c>
      <c r="CN5" s="43">
        <f t="shared" si="8"/>
        <v>45396</v>
      </c>
      <c r="CO5" s="45">
        <f t="shared" si="8"/>
        <v>45397</v>
      </c>
      <c r="CP5" s="42">
        <f t="shared" si="8"/>
        <v>45398</v>
      </c>
      <c r="CQ5" s="42">
        <f t="shared" si="8"/>
        <v>45399</v>
      </c>
      <c r="CR5" s="42">
        <f t="shared" si="8"/>
        <v>45400</v>
      </c>
      <c r="CS5" s="42">
        <f t="shared" si="8"/>
        <v>45401</v>
      </c>
      <c r="CT5" s="42">
        <f t="shared" si="8"/>
        <v>45402</v>
      </c>
      <c r="CU5" s="43">
        <f t="shared" si="8"/>
        <v>45403</v>
      </c>
      <c r="CV5" s="41">
        <f t="shared" si="8"/>
        <v>45404</v>
      </c>
      <c r="CW5" s="42">
        <f t="shared" si="8"/>
        <v>45405</v>
      </c>
      <c r="CX5" s="42">
        <f t="shared" si="8"/>
        <v>45406</v>
      </c>
      <c r="CY5" s="42">
        <f t="shared" si="8"/>
        <v>45407</v>
      </c>
      <c r="CZ5" s="42">
        <f t="shared" ref="CZ5:ED5" si="9">CY5+1</f>
        <v>45408</v>
      </c>
      <c r="DA5" s="42">
        <f t="shared" si="9"/>
        <v>45409</v>
      </c>
      <c r="DB5" s="43">
        <f t="shared" si="9"/>
        <v>45410</v>
      </c>
      <c r="DC5" s="41">
        <f t="shared" si="9"/>
        <v>45411</v>
      </c>
      <c r="DD5" s="42">
        <f t="shared" si="9"/>
        <v>45412</v>
      </c>
      <c r="DE5" s="42">
        <f t="shared" si="9"/>
        <v>45413</v>
      </c>
      <c r="DF5" s="42">
        <f t="shared" si="9"/>
        <v>45414</v>
      </c>
      <c r="DG5" s="42">
        <f t="shared" si="9"/>
        <v>45415</v>
      </c>
      <c r="DH5" s="42">
        <f t="shared" si="9"/>
        <v>45416</v>
      </c>
      <c r="DI5" s="43">
        <f t="shared" si="9"/>
        <v>45417</v>
      </c>
      <c r="DJ5" s="41">
        <f t="shared" si="9"/>
        <v>45418</v>
      </c>
      <c r="DK5" s="42">
        <f t="shared" si="9"/>
        <v>45419</v>
      </c>
      <c r="DL5" s="42">
        <f t="shared" si="9"/>
        <v>45420</v>
      </c>
      <c r="DM5" s="42">
        <f t="shared" si="9"/>
        <v>45421</v>
      </c>
      <c r="DN5" s="42">
        <f t="shared" si="9"/>
        <v>45422</v>
      </c>
      <c r="DO5" s="42">
        <f t="shared" si="9"/>
        <v>45423</v>
      </c>
      <c r="DP5" s="43">
        <f t="shared" si="9"/>
        <v>45424</v>
      </c>
      <c r="DQ5" s="41">
        <f t="shared" si="9"/>
        <v>45425</v>
      </c>
      <c r="DR5" s="42">
        <f t="shared" si="9"/>
        <v>45426</v>
      </c>
      <c r="DS5" s="42">
        <f t="shared" si="9"/>
        <v>45427</v>
      </c>
      <c r="DT5" s="42">
        <f t="shared" si="9"/>
        <v>45428</v>
      </c>
      <c r="DU5" s="42">
        <f t="shared" si="9"/>
        <v>45429</v>
      </c>
      <c r="DV5" s="42">
        <f t="shared" si="9"/>
        <v>45430</v>
      </c>
      <c r="DW5" s="43">
        <f t="shared" si="9"/>
        <v>45431</v>
      </c>
      <c r="DX5" s="41">
        <f t="shared" si="9"/>
        <v>45432</v>
      </c>
      <c r="DY5" s="42">
        <f t="shared" si="9"/>
        <v>45433</v>
      </c>
      <c r="DZ5" s="42">
        <f t="shared" si="9"/>
        <v>45434</v>
      </c>
      <c r="EA5" s="42">
        <f t="shared" si="9"/>
        <v>45435</v>
      </c>
      <c r="EB5" s="42">
        <f t="shared" si="9"/>
        <v>45436</v>
      </c>
      <c r="EC5" s="42">
        <f t="shared" si="9"/>
        <v>45437</v>
      </c>
      <c r="ED5" s="43">
        <f t="shared" si="9"/>
        <v>45438</v>
      </c>
    </row>
    <row r="6" spans="1:134" ht="29.25" customHeight="1" thickBot="1" x14ac:dyDescent="0.3">
      <c r="A6" s="46"/>
      <c r="B6" s="47" t="s">
        <v>9</v>
      </c>
      <c r="C6" s="48" t="s">
        <v>10</v>
      </c>
      <c r="D6" s="48" t="s">
        <v>11</v>
      </c>
      <c r="E6" s="48" t="s">
        <v>102</v>
      </c>
      <c r="F6" s="48" t="s">
        <v>103</v>
      </c>
      <c r="G6" s="48"/>
      <c r="H6" s="48" t="s">
        <v>12</v>
      </c>
      <c r="I6" s="49" t="str">
        <f t="shared" ref="I6" si="10">LEFT(TEXT(I5,"ddd"),1)</f>
        <v>M</v>
      </c>
      <c r="J6" s="49" t="str">
        <f t="shared" ref="J6:AR6" si="11">LEFT(TEXT(J5,"ddd"),1)</f>
        <v>T</v>
      </c>
      <c r="K6" s="49" t="str">
        <f t="shared" si="11"/>
        <v>W</v>
      </c>
      <c r="L6" s="49" t="str">
        <f t="shared" si="11"/>
        <v>T</v>
      </c>
      <c r="M6" s="49" t="str">
        <f t="shared" si="11"/>
        <v>F</v>
      </c>
      <c r="N6" s="49" t="str">
        <f t="shared" si="11"/>
        <v>S</v>
      </c>
      <c r="O6" s="49" t="str">
        <f t="shared" si="11"/>
        <v>S</v>
      </c>
      <c r="P6" s="49" t="str">
        <f t="shared" si="11"/>
        <v>M</v>
      </c>
      <c r="Q6" s="49" t="str">
        <f t="shared" si="11"/>
        <v>T</v>
      </c>
      <c r="R6" s="49" t="str">
        <f t="shared" si="11"/>
        <v>W</v>
      </c>
      <c r="S6" s="49" t="str">
        <f t="shared" si="11"/>
        <v>T</v>
      </c>
      <c r="T6" s="49" t="str">
        <f t="shared" si="11"/>
        <v>F</v>
      </c>
      <c r="U6" s="49" t="str">
        <f t="shared" si="11"/>
        <v>S</v>
      </c>
      <c r="V6" s="49" t="str">
        <f t="shared" si="11"/>
        <v>S</v>
      </c>
      <c r="W6" s="49" t="str">
        <f t="shared" si="11"/>
        <v>M</v>
      </c>
      <c r="X6" s="49" t="str">
        <f t="shared" si="11"/>
        <v>T</v>
      </c>
      <c r="Y6" s="49" t="str">
        <f t="shared" si="11"/>
        <v>W</v>
      </c>
      <c r="Z6" s="49" t="str">
        <f t="shared" si="11"/>
        <v>T</v>
      </c>
      <c r="AA6" s="49" t="str">
        <f t="shared" si="11"/>
        <v>F</v>
      </c>
      <c r="AB6" s="49" t="str">
        <f t="shared" si="11"/>
        <v>S</v>
      </c>
      <c r="AC6" s="49" t="str">
        <f t="shared" si="11"/>
        <v>S</v>
      </c>
      <c r="AD6" s="49" t="str">
        <f t="shared" si="11"/>
        <v>M</v>
      </c>
      <c r="AE6" s="49" t="str">
        <f t="shared" si="11"/>
        <v>T</v>
      </c>
      <c r="AF6" s="49" t="str">
        <f t="shared" si="11"/>
        <v>W</v>
      </c>
      <c r="AG6" s="49" t="str">
        <f t="shared" si="11"/>
        <v>T</v>
      </c>
      <c r="AH6" s="49" t="str">
        <f t="shared" si="11"/>
        <v>F</v>
      </c>
      <c r="AI6" s="49" t="str">
        <f t="shared" si="11"/>
        <v>S</v>
      </c>
      <c r="AJ6" s="49" t="str">
        <f t="shared" si="11"/>
        <v>S</v>
      </c>
      <c r="AK6" s="49" t="str">
        <f t="shared" si="11"/>
        <v>M</v>
      </c>
      <c r="AL6" s="49" t="str">
        <f t="shared" si="11"/>
        <v>T</v>
      </c>
      <c r="AM6" s="49" t="str">
        <f t="shared" si="11"/>
        <v>W</v>
      </c>
      <c r="AN6" s="49" t="str">
        <f t="shared" si="11"/>
        <v>T</v>
      </c>
      <c r="AO6" s="49" t="str">
        <f t="shared" si="11"/>
        <v>F</v>
      </c>
      <c r="AP6" s="49" t="str">
        <f t="shared" si="11"/>
        <v>S</v>
      </c>
      <c r="AQ6" s="49" t="str">
        <f t="shared" si="11"/>
        <v>S</v>
      </c>
      <c r="AR6" s="49" t="str">
        <f t="shared" si="11"/>
        <v>M</v>
      </c>
      <c r="AS6" s="49" t="str">
        <f t="shared" ref="AS6:BL6" si="12">LEFT(TEXT(AS5,"ddd"),1)</f>
        <v>T</v>
      </c>
      <c r="AT6" s="49" t="str">
        <f t="shared" si="12"/>
        <v>W</v>
      </c>
      <c r="AU6" s="49" t="str">
        <f t="shared" si="12"/>
        <v>T</v>
      </c>
      <c r="AV6" s="49" t="str">
        <f t="shared" si="12"/>
        <v>F</v>
      </c>
      <c r="AW6" s="49" t="str">
        <f t="shared" si="12"/>
        <v>S</v>
      </c>
      <c r="AX6" s="49" t="str">
        <f t="shared" si="12"/>
        <v>S</v>
      </c>
      <c r="AY6" s="49" t="str">
        <f t="shared" si="12"/>
        <v>M</v>
      </c>
      <c r="AZ6" s="49" t="str">
        <f t="shared" si="12"/>
        <v>T</v>
      </c>
      <c r="BA6" s="49" t="str">
        <f t="shared" si="12"/>
        <v>W</v>
      </c>
      <c r="BB6" s="49" t="str">
        <f t="shared" si="12"/>
        <v>T</v>
      </c>
      <c r="BC6" s="49" t="str">
        <f t="shared" si="12"/>
        <v>F</v>
      </c>
      <c r="BD6" s="49" t="str">
        <f t="shared" si="12"/>
        <v>S</v>
      </c>
      <c r="BE6" s="49" t="str">
        <f t="shared" si="12"/>
        <v>S</v>
      </c>
      <c r="BF6" s="49" t="str">
        <f t="shared" si="12"/>
        <v>M</v>
      </c>
      <c r="BG6" s="49" t="str">
        <f t="shared" si="12"/>
        <v>T</v>
      </c>
      <c r="BH6" s="49" t="str">
        <f t="shared" si="12"/>
        <v>W</v>
      </c>
      <c r="BI6" s="49" t="str">
        <f t="shared" si="12"/>
        <v>T</v>
      </c>
      <c r="BJ6" s="49" t="str">
        <f t="shared" si="12"/>
        <v>F</v>
      </c>
      <c r="BK6" s="49" t="str">
        <f t="shared" si="12"/>
        <v>S</v>
      </c>
      <c r="BL6" s="49" t="str">
        <f t="shared" si="12"/>
        <v>S</v>
      </c>
      <c r="BM6" s="49" t="str">
        <f t="shared" ref="BM6:BS6" si="13">LEFT(TEXT(BM5,"ddd"),1)</f>
        <v>M</v>
      </c>
      <c r="BN6" s="49" t="str">
        <f t="shared" si="13"/>
        <v>T</v>
      </c>
      <c r="BO6" s="49" t="str">
        <f t="shared" si="13"/>
        <v>W</v>
      </c>
      <c r="BP6" s="49" t="str">
        <f t="shared" si="13"/>
        <v>T</v>
      </c>
      <c r="BQ6" s="49" t="str">
        <f t="shared" si="13"/>
        <v>F</v>
      </c>
      <c r="BR6" s="49" t="str">
        <f t="shared" si="13"/>
        <v>S</v>
      </c>
      <c r="BS6" s="49" t="str">
        <f t="shared" si="13"/>
        <v>S</v>
      </c>
      <c r="BT6" s="49" t="str">
        <f t="shared" ref="BT6:CY6" si="14">LEFT(TEXT(BT5,"ddd"),1)</f>
        <v>M</v>
      </c>
      <c r="BU6" s="49" t="str">
        <f t="shared" si="14"/>
        <v>T</v>
      </c>
      <c r="BV6" s="49" t="str">
        <f t="shared" si="14"/>
        <v>W</v>
      </c>
      <c r="BW6" s="49" t="str">
        <f t="shared" si="14"/>
        <v>T</v>
      </c>
      <c r="BX6" s="49" t="str">
        <f t="shared" si="14"/>
        <v>F</v>
      </c>
      <c r="BY6" s="49" t="str">
        <f t="shared" si="14"/>
        <v>S</v>
      </c>
      <c r="BZ6" s="49" t="str">
        <f t="shared" si="14"/>
        <v>S</v>
      </c>
      <c r="CA6" s="49" t="str">
        <f t="shared" si="14"/>
        <v>M</v>
      </c>
      <c r="CB6" s="49" t="str">
        <f t="shared" si="14"/>
        <v>T</v>
      </c>
      <c r="CC6" s="49" t="str">
        <f t="shared" si="14"/>
        <v>W</v>
      </c>
      <c r="CD6" s="49" t="str">
        <f t="shared" si="14"/>
        <v>T</v>
      </c>
      <c r="CE6" s="49" t="str">
        <f t="shared" si="14"/>
        <v>F</v>
      </c>
      <c r="CF6" s="49" t="str">
        <f t="shared" si="14"/>
        <v>S</v>
      </c>
      <c r="CG6" s="49" t="str">
        <f t="shared" si="14"/>
        <v>S</v>
      </c>
      <c r="CH6" s="49" t="str">
        <f t="shared" si="14"/>
        <v>M</v>
      </c>
      <c r="CI6" s="49" t="str">
        <f t="shared" si="14"/>
        <v>T</v>
      </c>
      <c r="CJ6" s="49" t="str">
        <f t="shared" si="14"/>
        <v>W</v>
      </c>
      <c r="CK6" s="49" t="str">
        <f t="shared" si="14"/>
        <v>T</v>
      </c>
      <c r="CL6" s="49" t="str">
        <f t="shared" si="14"/>
        <v>F</v>
      </c>
      <c r="CM6" s="49" t="str">
        <f t="shared" si="14"/>
        <v>S</v>
      </c>
      <c r="CN6" s="49" t="str">
        <f t="shared" si="14"/>
        <v>S</v>
      </c>
      <c r="CO6" s="49" t="str">
        <f t="shared" si="14"/>
        <v>M</v>
      </c>
      <c r="CP6" s="49" t="str">
        <f t="shared" si="14"/>
        <v>T</v>
      </c>
      <c r="CQ6" s="49" t="str">
        <f t="shared" si="14"/>
        <v>W</v>
      </c>
      <c r="CR6" s="49" t="str">
        <f t="shared" si="14"/>
        <v>T</v>
      </c>
      <c r="CS6" s="49" t="str">
        <f t="shared" si="14"/>
        <v>F</v>
      </c>
      <c r="CT6" s="49" t="str">
        <f t="shared" si="14"/>
        <v>S</v>
      </c>
      <c r="CU6" s="49" t="str">
        <f t="shared" si="14"/>
        <v>S</v>
      </c>
      <c r="CV6" s="49" t="str">
        <f t="shared" si="14"/>
        <v>M</v>
      </c>
      <c r="CW6" s="49" t="str">
        <f t="shared" si="14"/>
        <v>T</v>
      </c>
      <c r="CX6" s="49" t="str">
        <f t="shared" si="14"/>
        <v>W</v>
      </c>
      <c r="CY6" s="49" t="str">
        <f t="shared" si="14"/>
        <v>T</v>
      </c>
      <c r="CZ6" s="49" t="str">
        <f t="shared" ref="CZ6:ED6" si="15">LEFT(TEXT(CZ5,"ddd"),1)</f>
        <v>F</v>
      </c>
      <c r="DA6" s="49" t="str">
        <f t="shared" si="15"/>
        <v>S</v>
      </c>
      <c r="DB6" s="49" t="str">
        <f t="shared" si="15"/>
        <v>S</v>
      </c>
      <c r="DC6" s="49" t="str">
        <f t="shared" si="15"/>
        <v>M</v>
      </c>
      <c r="DD6" s="49" t="str">
        <f t="shared" si="15"/>
        <v>T</v>
      </c>
      <c r="DE6" s="49" t="str">
        <f t="shared" si="15"/>
        <v>W</v>
      </c>
      <c r="DF6" s="49" t="str">
        <f t="shared" si="15"/>
        <v>T</v>
      </c>
      <c r="DG6" s="49" t="str">
        <f t="shared" si="15"/>
        <v>F</v>
      </c>
      <c r="DH6" s="49" t="str">
        <f t="shared" si="15"/>
        <v>S</v>
      </c>
      <c r="DI6" s="49" t="str">
        <f t="shared" si="15"/>
        <v>S</v>
      </c>
      <c r="DJ6" s="49" t="str">
        <f t="shared" si="15"/>
        <v>M</v>
      </c>
      <c r="DK6" s="49" t="str">
        <f t="shared" si="15"/>
        <v>T</v>
      </c>
      <c r="DL6" s="49" t="str">
        <f t="shared" si="15"/>
        <v>W</v>
      </c>
      <c r="DM6" s="49" t="str">
        <f t="shared" si="15"/>
        <v>T</v>
      </c>
      <c r="DN6" s="49" t="str">
        <f t="shared" si="15"/>
        <v>F</v>
      </c>
      <c r="DO6" s="49" t="str">
        <f t="shared" si="15"/>
        <v>S</v>
      </c>
      <c r="DP6" s="49" t="str">
        <f t="shared" si="15"/>
        <v>S</v>
      </c>
      <c r="DQ6" s="49" t="str">
        <f t="shared" si="15"/>
        <v>M</v>
      </c>
      <c r="DR6" s="49" t="str">
        <f t="shared" si="15"/>
        <v>T</v>
      </c>
      <c r="DS6" s="49" t="str">
        <f t="shared" si="15"/>
        <v>W</v>
      </c>
      <c r="DT6" s="49" t="str">
        <f t="shared" si="15"/>
        <v>T</v>
      </c>
      <c r="DU6" s="49" t="str">
        <f t="shared" si="15"/>
        <v>F</v>
      </c>
      <c r="DV6" s="49" t="str">
        <f t="shared" si="15"/>
        <v>S</v>
      </c>
      <c r="DW6" s="49" t="str">
        <f t="shared" si="15"/>
        <v>S</v>
      </c>
      <c r="DX6" s="49" t="str">
        <f t="shared" si="15"/>
        <v>M</v>
      </c>
      <c r="DY6" s="49" t="str">
        <f t="shared" si="15"/>
        <v>T</v>
      </c>
      <c r="DZ6" s="49" t="str">
        <f t="shared" si="15"/>
        <v>W</v>
      </c>
      <c r="EA6" s="49" t="str">
        <f t="shared" si="15"/>
        <v>T</v>
      </c>
      <c r="EB6" s="49" t="str">
        <f t="shared" si="15"/>
        <v>F</v>
      </c>
      <c r="EC6" s="49" t="str">
        <f t="shared" si="15"/>
        <v>S</v>
      </c>
      <c r="ED6" s="49" t="str">
        <f t="shared" si="15"/>
        <v>S</v>
      </c>
    </row>
    <row r="7" spans="1:134" s="76" customFormat="1" ht="21.75" thickBot="1" x14ac:dyDescent="0.3">
      <c r="A7" s="68"/>
      <c r="B7" s="69"/>
      <c r="C7" s="70"/>
      <c r="D7" s="71"/>
      <c r="E7" s="72"/>
      <c r="F7" s="73"/>
      <c r="G7" s="74"/>
      <c r="H7" s="74" t="str">
        <f t="shared" ref="H7:H42" si="16">IF(OR(ISBLANK(task_start),ISBLANK(task_end)),"",task_end-task_start+1)</f>
        <v/>
      </c>
      <c r="I7" s="75"/>
      <c r="J7" s="75"/>
      <c r="K7" s="75"/>
      <c r="L7" s="75"/>
      <c r="M7" s="75"/>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c r="BG7" s="75"/>
      <c r="BH7" s="75"/>
      <c r="BI7" s="75"/>
      <c r="BJ7" s="75"/>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75"/>
      <c r="CZ7" s="75"/>
      <c r="DA7" s="75"/>
      <c r="DB7" s="75"/>
      <c r="DC7" s="75"/>
      <c r="DD7" s="75"/>
      <c r="DE7" s="75"/>
      <c r="DF7" s="75"/>
      <c r="DG7" s="75"/>
      <c r="DH7" s="75"/>
      <c r="DI7" s="75"/>
      <c r="DJ7" s="75"/>
      <c r="DK7" s="75"/>
      <c r="DL7" s="75"/>
      <c r="DM7" s="75"/>
      <c r="DN7" s="75"/>
      <c r="DO7" s="75"/>
      <c r="DP7" s="75"/>
      <c r="DQ7" s="75"/>
      <c r="DR7" s="75"/>
      <c r="DS7" s="75"/>
      <c r="DT7" s="75"/>
      <c r="DU7" s="75"/>
      <c r="DV7" s="75"/>
      <c r="DW7" s="75"/>
      <c r="DX7" s="75"/>
      <c r="DY7" s="75"/>
      <c r="DZ7" s="75"/>
      <c r="EA7" s="75"/>
      <c r="EB7" s="75"/>
      <c r="EC7" s="75"/>
      <c r="ED7" s="75"/>
    </row>
    <row r="8" spans="1:134" s="76" customFormat="1" ht="21.75" thickBot="1" x14ac:dyDescent="0.3">
      <c r="A8" s="68"/>
      <c r="B8" s="77" t="s">
        <v>13</v>
      </c>
      <c r="C8" s="78"/>
      <c r="D8" s="79"/>
      <c r="E8" s="80"/>
      <c r="F8" s="81"/>
      <c r="G8" s="74"/>
      <c r="H8" s="74" t="str">
        <f t="shared" si="16"/>
        <v/>
      </c>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c r="BG8" s="75"/>
      <c r="BH8" s="75"/>
      <c r="BI8" s="75"/>
      <c r="BJ8" s="75"/>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75"/>
      <c r="CZ8" s="75"/>
      <c r="DA8" s="75"/>
      <c r="DB8" s="75"/>
      <c r="DC8" s="75"/>
      <c r="DD8" s="75"/>
      <c r="DE8" s="75"/>
      <c r="DF8" s="75"/>
      <c r="DG8" s="75"/>
      <c r="DH8" s="75"/>
      <c r="DI8" s="75"/>
      <c r="DJ8" s="75"/>
      <c r="DK8" s="75"/>
      <c r="DL8" s="75"/>
      <c r="DM8" s="75"/>
      <c r="DN8" s="75"/>
      <c r="DO8" s="75"/>
      <c r="DP8" s="75"/>
      <c r="DQ8" s="75"/>
      <c r="DR8" s="75"/>
      <c r="DS8" s="75"/>
      <c r="DT8" s="75"/>
      <c r="DU8" s="75"/>
      <c r="DV8" s="75"/>
      <c r="DW8" s="75"/>
      <c r="DX8" s="75"/>
      <c r="DY8" s="75"/>
      <c r="DZ8" s="75"/>
      <c r="EA8" s="75"/>
      <c r="EB8" s="75"/>
      <c r="EC8" s="75"/>
      <c r="ED8" s="75"/>
    </row>
    <row r="9" spans="1:134" s="76" customFormat="1" ht="21.75" thickBot="1" x14ac:dyDescent="0.3">
      <c r="A9" s="68"/>
      <c r="B9" s="82" t="s">
        <v>14</v>
      </c>
      <c r="C9" s="83"/>
      <c r="D9" s="84">
        <v>0</v>
      </c>
      <c r="E9" s="85">
        <v>45313</v>
      </c>
      <c r="F9" s="86">
        <v>45324</v>
      </c>
      <c r="G9" s="74"/>
      <c r="H9" s="74">
        <f t="shared" si="16"/>
        <v>12</v>
      </c>
      <c r="I9" s="75"/>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row>
    <row r="10" spans="1:134" s="76" customFormat="1" ht="21.75" thickBot="1" x14ac:dyDescent="0.3">
      <c r="A10" s="68"/>
      <c r="B10" s="82" t="s">
        <v>15</v>
      </c>
      <c r="C10" s="83"/>
      <c r="D10" s="84">
        <v>0</v>
      </c>
      <c r="E10" s="85">
        <v>45313</v>
      </c>
      <c r="F10" s="86">
        <v>45324</v>
      </c>
      <c r="G10" s="74"/>
      <c r="H10" s="74">
        <f t="shared" si="16"/>
        <v>12</v>
      </c>
      <c r="I10" s="75"/>
      <c r="J10" s="75"/>
      <c r="K10" s="75"/>
      <c r="L10" s="75"/>
      <c r="M10" s="75"/>
      <c r="N10" s="75"/>
      <c r="O10" s="75"/>
      <c r="P10" s="75"/>
      <c r="Q10" s="75"/>
      <c r="R10" s="75"/>
      <c r="S10" s="75"/>
      <c r="T10" s="75"/>
      <c r="U10" s="87"/>
      <c r="V10" s="87"/>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row>
    <row r="11" spans="1:134" s="76" customFormat="1" ht="21.75" thickBot="1" x14ac:dyDescent="0.3">
      <c r="A11" s="68"/>
      <c r="B11" s="82" t="s">
        <v>16</v>
      </c>
      <c r="C11" s="83"/>
      <c r="D11" s="84">
        <v>0</v>
      </c>
      <c r="E11" s="85">
        <v>45313</v>
      </c>
      <c r="F11" s="86">
        <v>45324</v>
      </c>
      <c r="G11" s="74"/>
      <c r="H11" s="74">
        <f t="shared" si="16"/>
        <v>12</v>
      </c>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row>
    <row r="12" spans="1:134" s="76" customFormat="1" ht="21.75" thickBot="1" x14ac:dyDescent="0.3">
      <c r="A12" s="68"/>
      <c r="B12" s="82" t="s">
        <v>17</v>
      </c>
      <c r="C12" s="83"/>
      <c r="D12" s="84">
        <v>0</v>
      </c>
      <c r="E12" s="85">
        <v>45313</v>
      </c>
      <c r="F12" s="86">
        <v>45324</v>
      </c>
      <c r="G12" s="74"/>
      <c r="H12" s="74">
        <f t="shared" si="16"/>
        <v>12</v>
      </c>
      <c r="I12" s="75"/>
      <c r="J12" s="75"/>
      <c r="K12" s="75"/>
      <c r="L12" s="75"/>
      <c r="M12" s="75"/>
      <c r="N12" s="75"/>
      <c r="O12" s="75"/>
      <c r="P12" s="75"/>
      <c r="Q12" s="75"/>
      <c r="R12" s="75"/>
      <c r="S12" s="75"/>
      <c r="T12" s="75"/>
      <c r="U12" s="75"/>
      <c r="V12" s="75"/>
      <c r="W12" s="75"/>
      <c r="X12" s="75"/>
      <c r="Y12" s="87"/>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row>
    <row r="13" spans="1:134" s="76" customFormat="1" ht="21.75" thickBot="1" x14ac:dyDescent="0.3">
      <c r="A13" s="68"/>
      <c r="B13" s="82" t="s">
        <v>18</v>
      </c>
      <c r="C13" s="83"/>
      <c r="D13" s="84">
        <v>0</v>
      </c>
      <c r="E13" s="85">
        <v>45313</v>
      </c>
      <c r="F13" s="86">
        <v>45324</v>
      </c>
      <c r="G13" s="74"/>
      <c r="H13" s="74">
        <f t="shared" si="16"/>
        <v>12</v>
      </c>
      <c r="I13" s="75"/>
      <c r="J13" s="75"/>
      <c r="K13" s="75"/>
      <c r="L13" s="75"/>
      <c r="M13" s="75"/>
      <c r="N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row>
    <row r="14" spans="1:134" s="76" customFormat="1" ht="21.75" thickBot="1" x14ac:dyDescent="0.3">
      <c r="A14" s="68"/>
      <c r="B14" s="82" t="s">
        <v>19</v>
      </c>
      <c r="C14" s="83"/>
      <c r="D14" s="84">
        <v>0</v>
      </c>
      <c r="E14" s="85">
        <v>45316</v>
      </c>
      <c r="F14" s="86">
        <v>45316</v>
      </c>
      <c r="G14" s="74"/>
      <c r="H14" s="74">
        <f t="shared" ref="H14:H20" si="17">IF(OR(ISBLANK(task_start),ISBLANK(task_end)),"",task_end-task_start+1)</f>
        <v>1</v>
      </c>
      <c r="I14" s="75"/>
      <c r="J14" s="75"/>
      <c r="K14" s="75"/>
      <c r="L14" s="75"/>
      <c r="M14" s="75"/>
      <c r="N14" s="75"/>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row>
    <row r="15" spans="1:134" s="76" customFormat="1" ht="21.75" thickBot="1" x14ac:dyDescent="0.3">
      <c r="A15" s="68"/>
      <c r="B15" s="88" t="s">
        <v>20</v>
      </c>
      <c r="C15" s="89"/>
      <c r="D15" s="90"/>
      <c r="E15" s="91"/>
      <c r="F15" s="92"/>
      <c r="G15" s="74"/>
      <c r="H15" s="74" t="str">
        <f t="shared" si="17"/>
        <v/>
      </c>
      <c r="I15" s="75"/>
      <c r="J15" s="75"/>
      <c r="K15" s="75"/>
      <c r="L15" s="75"/>
      <c r="M15" s="75"/>
      <c r="N15" s="75"/>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row>
    <row r="16" spans="1:134" s="76" customFormat="1" ht="21.75" thickBot="1" x14ac:dyDescent="0.3">
      <c r="A16" s="68"/>
      <c r="B16" s="93" t="s">
        <v>21</v>
      </c>
      <c r="C16" s="94"/>
      <c r="D16" s="95">
        <v>0</v>
      </c>
      <c r="E16" s="96">
        <v>45327</v>
      </c>
      <c r="F16" s="96">
        <v>45327</v>
      </c>
      <c r="G16" s="74"/>
      <c r="H16" s="74">
        <f t="shared" si="17"/>
        <v>1</v>
      </c>
      <c r="I16" s="75"/>
      <c r="J16" s="75"/>
      <c r="K16" s="75"/>
      <c r="L16" s="75"/>
      <c r="M16" s="75"/>
      <c r="N16" s="75"/>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row>
    <row r="17" spans="1:134" s="76" customFormat="1" ht="21.75" thickBot="1" x14ac:dyDescent="0.3">
      <c r="A17" s="68"/>
      <c r="B17" s="93" t="s">
        <v>22</v>
      </c>
      <c r="C17" s="94"/>
      <c r="D17" s="95">
        <v>0</v>
      </c>
      <c r="E17" s="96">
        <v>45328</v>
      </c>
      <c r="F17" s="96">
        <v>45328</v>
      </c>
      <c r="G17" s="74"/>
      <c r="H17" s="74">
        <f t="shared" si="17"/>
        <v>1</v>
      </c>
      <c r="I17" s="75"/>
      <c r="J17" s="75"/>
      <c r="K17" s="75"/>
      <c r="L17" s="75"/>
      <c r="M17" s="75"/>
      <c r="N17" s="75"/>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row>
    <row r="18" spans="1:134" s="76" customFormat="1" ht="21.75" thickBot="1" x14ac:dyDescent="0.3">
      <c r="A18" s="68"/>
      <c r="B18" s="93" t="s">
        <v>23</v>
      </c>
      <c r="C18" s="94"/>
      <c r="D18" s="95">
        <v>0</v>
      </c>
      <c r="E18" s="96">
        <v>45329</v>
      </c>
      <c r="F18" s="96">
        <v>45329</v>
      </c>
      <c r="G18" s="74"/>
      <c r="H18" s="74">
        <f t="shared" si="17"/>
        <v>1</v>
      </c>
      <c r="I18" s="75"/>
      <c r="J18" s="75"/>
      <c r="K18" s="75"/>
      <c r="L18" s="75"/>
      <c r="M18" s="75"/>
      <c r="N18" s="75"/>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row>
    <row r="19" spans="1:134" s="76" customFormat="1" ht="21.75" thickBot="1" x14ac:dyDescent="0.3">
      <c r="A19" s="68"/>
      <c r="B19" s="93" t="s">
        <v>24</v>
      </c>
      <c r="C19" s="94"/>
      <c r="D19" s="95">
        <v>0</v>
      </c>
      <c r="E19" s="96">
        <v>45330</v>
      </c>
      <c r="F19" s="96">
        <v>45330</v>
      </c>
      <c r="G19" s="74"/>
      <c r="H19" s="74">
        <f t="shared" si="17"/>
        <v>1</v>
      </c>
      <c r="I19" s="75"/>
      <c r="J19" s="75"/>
      <c r="K19" s="75"/>
      <c r="L19" s="75"/>
      <c r="M19" s="75"/>
      <c r="N19" s="75"/>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row>
    <row r="20" spans="1:134" s="76" customFormat="1" ht="21.75" thickBot="1" x14ac:dyDescent="0.3">
      <c r="A20" s="68"/>
      <c r="B20" s="93" t="s">
        <v>25</v>
      </c>
      <c r="C20" s="94"/>
      <c r="D20" s="95">
        <v>0</v>
      </c>
      <c r="E20" s="96">
        <v>45327</v>
      </c>
      <c r="F20" s="96">
        <v>45342</v>
      </c>
      <c r="G20" s="74"/>
      <c r="H20" s="74">
        <f t="shared" si="17"/>
        <v>16</v>
      </c>
      <c r="I20" s="75"/>
      <c r="J20" s="75"/>
      <c r="K20" s="75"/>
      <c r="L20" s="75"/>
      <c r="M20" s="75"/>
      <c r="N20" s="75"/>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row>
    <row r="21" spans="1:134" s="76" customFormat="1" ht="21.75" thickBot="1" x14ac:dyDescent="0.3">
      <c r="A21" s="68"/>
      <c r="B21" s="97" t="s">
        <v>26</v>
      </c>
      <c r="C21" s="98"/>
      <c r="D21" s="99"/>
      <c r="E21" s="100"/>
      <c r="F21" s="101"/>
      <c r="G21" s="74"/>
      <c r="H21" s="74" t="str">
        <f t="shared" si="16"/>
        <v/>
      </c>
      <c r="I21" s="75"/>
      <c r="J21" s="75"/>
      <c r="K21" s="75"/>
      <c r="L21" s="75"/>
      <c r="M21" s="75"/>
      <c r="N21" s="75"/>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row>
    <row r="22" spans="1:134" s="76" customFormat="1" ht="21.75" thickBot="1" x14ac:dyDescent="0.3">
      <c r="A22" s="68"/>
      <c r="B22" s="102" t="s">
        <v>21</v>
      </c>
      <c r="C22" s="103"/>
      <c r="D22" s="104">
        <v>0</v>
      </c>
      <c r="E22" s="105">
        <v>45329</v>
      </c>
      <c r="F22" s="106">
        <v>45329</v>
      </c>
      <c r="G22" s="74"/>
      <c r="H22" s="74">
        <f t="shared" si="16"/>
        <v>1</v>
      </c>
      <c r="I22" s="75"/>
      <c r="J22" s="75"/>
      <c r="K22" s="75"/>
      <c r="L22" s="75"/>
      <c r="M22" s="75"/>
      <c r="N22" s="75"/>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row>
    <row r="23" spans="1:134" s="76" customFormat="1" ht="21.75" thickBot="1" x14ac:dyDescent="0.3">
      <c r="A23" s="68"/>
      <c r="B23" s="102" t="s">
        <v>27</v>
      </c>
      <c r="C23" s="103"/>
      <c r="D23" s="104">
        <v>1E-3</v>
      </c>
      <c r="E23" s="105">
        <v>45330</v>
      </c>
      <c r="F23" s="106">
        <v>45341</v>
      </c>
      <c r="G23" s="74"/>
      <c r="H23" s="74">
        <f t="shared" si="16"/>
        <v>12</v>
      </c>
      <c r="I23" s="75"/>
      <c r="J23" s="75"/>
      <c r="K23" s="75"/>
      <c r="L23" s="75"/>
      <c r="M23" s="75"/>
      <c r="N23" s="75"/>
      <c r="O23" s="75"/>
      <c r="P23" s="75"/>
      <c r="Q23" s="75"/>
      <c r="R23" s="75"/>
      <c r="S23" s="75"/>
      <c r="T23" s="75"/>
      <c r="U23" s="87"/>
      <c r="V23" s="87"/>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row>
    <row r="24" spans="1:134" s="76" customFormat="1" ht="21.75" thickBot="1" x14ac:dyDescent="0.3">
      <c r="A24" s="68"/>
      <c r="B24" s="102" t="s">
        <v>28</v>
      </c>
      <c r="C24" s="103"/>
      <c r="D24" s="104">
        <v>0</v>
      </c>
      <c r="E24" s="105">
        <v>45342</v>
      </c>
      <c r="F24" s="106">
        <v>45345</v>
      </c>
      <c r="G24" s="74"/>
      <c r="H24" s="74">
        <f t="shared" si="16"/>
        <v>4</v>
      </c>
      <c r="I24" s="75"/>
      <c r="J24" s="75"/>
      <c r="K24" s="75"/>
      <c r="L24" s="75"/>
      <c r="M24" s="75"/>
      <c r="N24" s="75"/>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row>
    <row r="25" spans="1:134" s="76" customFormat="1" ht="21.75" thickBot="1" x14ac:dyDescent="0.3">
      <c r="A25" s="68"/>
      <c r="B25" s="102" t="s">
        <v>29</v>
      </c>
      <c r="C25" s="103"/>
      <c r="D25" s="104">
        <v>0</v>
      </c>
      <c r="E25" s="105">
        <v>45346</v>
      </c>
      <c r="F25" s="106">
        <v>45348</v>
      </c>
      <c r="G25" s="74"/>
      <c r="H25" s="74">
        <f t="shared" si="16"/>
        <v>3</v>
      </c>
      <c r="I25" s="75"/>
      <c r="J25" s="75"/>
      <c r="K25" s="75"/>
      <c r="L25" s="75"/>
      <c r="M25" s="75"/>
      <c r="N25" s="75"/>
      <c r="O25" s="75"/>
      <c r="P25" s="75"/>
      <c r="Q25" s="75"/>
      <c r="R25" s="75"/>
      <c r="S25" s="75"/>
      <c r="T25" s="75"/>
      <c r="U25" s="75"/>
      <c r="V25" s="75"/>
      <c r="W25" s="75"/>
      <c r="X25" s="75"/>
      <c r="Y25" s="87"/>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row>
    <row r="26" spans="1:134" s="76" customFormat="1" ht="21.75" thickBot="1" x14ac:dyDescent="0.3">
      <c r="A26" s="68"/>
      <c r="B26" s="102" t="s">
        <v>30</v>
      </c>
      <c r="C26" s="103"/>
      <c r="D26" s="104">
        <v>0</v>
      </c>
      <c r="E26" s="105">
        <v>45349</v>
      </c>
      <c r="F26" s="106">
        <v>45349</v>
      </c>
      <c r="G26" s="74"/>
      <c r="H26" s="74">
        <f t="shared" si="16"/>
        <v>1</v>
      </c>
      <c r="I26" s="75"/>
      <c r="J26" s="75"/>
      <c r="K26" s="75"/>
      <c r="L26" s="75"/>
      <c r="M26" s="75"/>
      <c r="N26" s="75"/>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row>
    <row r="27" spans="1:134" s="76" customFormat="1" ht="21.75" thickBot="1" x14ac:dyDescent="0.3">
      <c r="A27" s="68"/>
      <c r="B27" s="107" t="s">
        <v>31</v>
      </c>
      <c r="C27" s="108"/>
      <c r="D27" s="84"/>
      <c r="E27" s="109"/>
      <c r="F27" s="110"/>
      <c r="G27" s="74"/>
      <c r="H27" s="74" t="str">
        <f t="shared" si="16"/>
        <v/>
      </c>
      <c r="I27" s="75"/>
      <c r="J27" s="75"/>
      <c r="K27" s="75"/>
      <c r="L27" s="75"/>
      <c r="M27" s="75"/>
      <c r="N27" s="75"/>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row>
    <row r="28" spans="1:134" s="76" customFormat="1" ht="21.75" thickBot="1" x14ac:dyDescent="0.3">
      <c r="A28" s="68"/>
      <c r="B28" s="82" t="s">
        <v>21</v>
      </c>
      <c r="C28" s="83"/>
      <c r="D28" s="84">
        <v>0</v>
      </c>
      <c r="E28" s="85">
        <v>45341</v>
      </c>
      <c r="F28" s="86">
        <v>45341</v>
      </c>
      <c r="G28" s="74"/>
      <c r="H28" s="74">
        <f t="shared" si="16"/>
        <v>1</v>
      </c>
      <c r="I28" s="75"/>
      <c r="J28" s="75"/>
      <c r="K28" s="75"/>
      <c r="L28" s="75"/>
      <c r="M28" s="75"/>
      <c r="N28" s="75"/>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row>
    <row r="29" spans="1:134" s="76" customFormat="1" ht="21.75" thickBot="1" x14ac:dyDescent="0.3">
      <c r="A29" s="68"/>
      <c r="B29" s="82" t="s">
        <v>27</v>
      </c>
      <c r="C29" s="83"/>
      <c r="D29" s="84">
        <v>0</v>
      </c>
      <c r="E29" s="85">
        <v>45342</v>
      </c>
      <c r="F29" s="86">
        <v>45366</v>
      </c>
      <c r="G29" s="74"/>
      <c r="H29" s="74">
        <f t="shared" si="16"/>
        <v>25</v>
      </c>
      <c r="I29" s="75"/>
      <c r="J29" s="75"/>
      <c r="K29" s="75"/>
      <c r="L29" s="75"/>
      <c r="M29" s="75"/>
      <c r="N29" s="75"/>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row>
    <row r="30" spans="1:134" s="76" customFormat="1" ht="21.75" thickBot="1" x14ac:dyDescent="0.3">
      <c r="A30" s="68"/>
      <c r="B30" s="82" t="s">
        <v>28</v>
      </c>
      <c r="C30" s="83"/>
      <c r="D30" s="84">
        <v>0</v>
      </c>
      <c r="E30" s="85">
        <v>45369</v>
      </c>
      <c r="F30" s="86">
        <v>45376</v>
      </c>
      <c r="G30" s="74"/>
      <c r="H30" s="74">
        <f t="shared" si="16"/>
        <v>8</v>
      </c>
      <c r="I30" s="75"/>
      <c r="J30" s="75"/>
      <c r="K30" s="75"/>
      <c r="L30" s="75"/>
      <c r="M30" s="75"/>
      <c r="N30" s="75"/>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row>
    <row r="31" spans="1:134" s="76" customFormat="1" ht="21.75" thickBot="1" x14ac:dyDescent="0.3">
      <c r="A31" s="68"/>
      <c r="B31" s="82" t="s">
        <v>29</v>
      </c>
      <c r="C31" s="83"/>
      <c r="D31" s="84">
        <v>0</v>
      </c>
      <c r="E31" s="85">
        <v>45377</v>
      </c>
      <c r="F31" s="86">
        <v>45386</v>
      </c>
      <c r="G31" s="74"/>
      <c r="H31" s="74">
        <f t="shared" si="16"/>
        <v>10</v>
      </c>
      <c r="I31" s="75"/>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row>
    <row r="32" spans="1:134" s="76" customFormat="1" ht="21.75" thickBot="1" x14ac:dyDescent="0.3">
      <c r="A32" s="68"/>
      <c r="B32" s="82" t="s">
        <v>30</v>
      </c>
      <c r="C32" s="83"/>
      <c r="D32" s="84">
        <v>0</v>
      </c>
      <c r="E32" s="85">
        <v>45387</v>
      </c>
      <c r="F32" s="86">
        <v>45387</v>
      </c>
      <c r="G32" s="74"/>
      <c r="H32" s="74">
        <f t="shared" si="16"/>
        <v>1</v>
      </c>
      <c r="I32" s="75"/>
      <c r="J32" s="75"/>
      <c r="K32" s="75"/>
      <c r="L32" s="75"/>
      <c r="M32" s="75"/>
      <c r="N32" s="75"/>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row>
    <row r="33" spans="1:134" s="76" customFormat="1" ht="21.75" thickBot="1" x14ac:dyDescent="0.3">
      <c r="A33" s="68"/>
      <c r="B33" s="111" t="s">
        <v>32</v>
      </c>
      <c r="C33" s="112"/>
      <c r="D33" s="113"/>
      <c r="E33" s="114"/>
      <c r="F33" s="115"/>
      <c r="G33" s="74"/>
      <c r="H33" s="74" t="str">
        <f t="shared" si="16"/>
        <v/>
      </c>
      <c r="I33" s="75"/>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row>
    <row r="34" spans="1:134" s="76" customFormat="1" ht="21.75" thickBot="1" x14ac:dyDescent="0.3">
      <c r="A34" s="68"/>
      <c r="B34" s="116" t="s">
        <v>33</v>
      </c>
      <c r="C34" s="117"/>
      <c r="D34" s="118">
        <v>0</v>
      </c>
      <c r="E34" s="119">
        <v>45378</v>
      </c>
      <c r="F34" s="120">
        <v>45379</v>
      </c>
      <c r="G34" s="74"/>
      <c r="H34" s="74">
        <f t="shared" si="16"/>
        <v>2</v>
      </c>
      <c r="I34" s="75"/>
      <c r="J34" s="75"/>
      <c r="K34" s="75"/>
      <c r="L34" s="75"/>
      <c r="M34" s="75"/>
      <c r="N34" s="75"/>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row>
    <row r="35" spans="1:134" s="76" customFormat="1" ht="21.75" thickBot="1" x14ac:dyDescent="0.3">
      <c r="A35" s="68"/>
      <c r="B35" s="116" t="s">
        <v>34</v>
      </c>
      <c r="C35" s="117"/>
      <c r="D35" s="118">
        <v>0</v>
      </c>
      <c r="E35" s="119">
        <v>45380</v>
      </c>
      <c r="F35" s="120">
        <v>45381</v>
      </c>
      <c r="G35" s="74"/>
      <c r="H35" s="74">
        <f t="shared" si="16"/>
        <v>2</v>
      </c>
      <c r="I35" s="75"/>
      <c r="J35" s="75"/>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row>
    <row r="36" spans="1:134" s="76" customFormat="1" ht="21.75" thickBot="1" x14ac:dyDescent="0.3">
      <c r="A36" s="68"/>
      <c r="B36" s="116" t="s">
        <v>35</v>
      </c>
      <c r="C36" s="117"/>
      <c r="D36" s="118">
        <v>0</v>
      </c>
      <c r="E36" s="119">
        <v>45390</v>
      </c>
      <c r="F36" s="120">
        <v>45390</v>
      </c>
      <c r="G36" s="74"/>
      <c r="H36" s="74">
        <f t="shared" si="16"/>
        <v>1</v>
      </c>
      <c r="I36" s="75"/>
      <c r="J36" s="75"/>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row>
    <row r="37" spans="1:134" s="76" customFormat="1" ht="21.75" thickBot="1" x14ac:dyDescent="0.3">
      <c r="A37" s="68"/>
      <c r="B37" s="116" t="s">
        <v>36</v>
      </c>
      <c r="C37" s="117"/>
      <c r="D37" s="118">
        <v>0</v>
      </c>
      <c r="E37" s="119">
        <v>45391</v>
      </c>
      <c r="F37" s="120">
        <v>45394</v>
      </c>
      <c r="G37" s="74"/>
      <c r="H37" s="74">
        <f t="shared" si="16"/>
        <v>4</v>
      </c>
      <c r="I37" s="75"/>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row>
    <row r="38" spans="1:134" s="76" customFormat="1" ht="21.75" thickBot="1" x14ac:dyDescent="0.3">
      <c r="A38" s="68"/>
      <c r="B38" s="116" t="s">
        <v>37</v>
      </c>
      <c r="C38" s="117"/>
      <c r="D38" s="118">
        <v>0</v>
      </c>
      <c r="E38" s="119">
        <v>45394</v>
      </c>
      <c r="F38" s="120">
        <v>45400</v>
      </c>
      <c r="G38" s="74"/>
      <c r="H38" s="74">
        <f t="shared" si="16"/>
        <v>7</v>
      </c>
      <c r="I38" s="75"/>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row>
    <row r="39" spans="1:134" s="76" customFormat="1" ht="21.75" thickBot="1" x14ac:dyDescent="0.3">
      <c r="A39" s="68"/>
      <c r="B39" s="69"/>
      <c r="C39" s="70"/>
      <c r="D39" s="71"/>
      <c r="E39" s="72"/>
      <c r="F39" s="73"/>
      <c r="G39" s="74"/>
      <c r="H39" s="74" t="str">
        <f t="shared" si="16"/>
        <v/>
      </c>
      <c r="I39" s="75"/>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row>
    <row r="40" spans="1:134" s="76" customFormat="1" ht="21.75" thickBot="1" x14ac:dyDescent="0.3">
      <c r="A40" s="68"/>
      <c r="B40" s="69"/>
      <c r="C40" s="70"/>
      <c r="D40" s="71"/>
      <c r="E40" s="72"/>
      <c r="F40" s="73"/>
      <c r="G40" s="74"/>
      <c r="H40" s="74" t="str">
        <f t="shared" si="16"/>
        <v/>
      </c>
      <c r="I40" s="75"/>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row>
    <row r="41" spans="1:134" s="76" customFormat="1" ht="21.75" thickBot="1" x14ac:dyDescent="0.3">
      <c r="A41" s="68"/>
      <c r="B41" s="69"/>
      <c r="C41" s="70"/>
      <c r="D41" s="71"/>
      <c r="E41" s="72"/>
      <c r="F41" s="73"/>
      <c r="G41" s="74"/>
      <c r="H41" s="74" t="str">
        <f t="shared" si="16"/>
        <v/>
      </c>
      <c r="I41" s="75"/>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row>
    <row r="42" spans="1:134" s="50" customFormat="1" ht="21.75" thickBot="1" x14ac:dyDescent="0.3">
      <c r="A42" s="46"/>
      <c r="B42" s="51" t="s">
        <v>38</v>
      </c>
      <c r="C42" s="52"/>
      <c r="D42" s="53"/>
      <c r="E42" s="54"/>
      <c r="F42" s="55"/>
      <c r="G42" s="56"/>
      <c r="H42" s="56" t="str">
        <f t="shared" si="16"/>
        <v/>
      </c>
      <c r="I42" s="57"/>
      <c r="J42" s="57"/>
      <c r="K42" s="57"/>
      <c r="L42" s="57"/>
      <c r="M42" s="57"/>
      <c r="N42" s="57"/>
      <c r="O42" s="57"/>
      <c r="P42" s="57"/>
      <c r="Q42" s="57"/>
      <c r="R42" s="57"/>
      <c r="S42" s="57"/>
      <c r="T42" s="57"/>
      <c r="U42" s="57"/>
      <c r="V42" s="57"/>
      <c r="W42" s="57"/>
      <c r="X42" s="57"/>
      <c r="Y42" s="57"/>
      <c r="Z42" s="57"/>
      <c r="AA42" s="57"/>
      <c r="AB42" s="57"/>
      <c r="AC42" s="57"/>
      <c r="AD42" s="57"/>
      <c r="AE42" s="57"/>
      <c r="AF42" s="57"/>
      <c r="AG42" s="57"/>
      <c r="AH42" s="57"/>
      <c r="AI42" s="57"/>
      <c r="AJ42" s="57"/>
      <c r="AK42" s="57"/>
      <c r="AL42" s="57"/>
      <c r="AM42" s="57"/>
      <c r="AN42" s="57"/>
      <c r="AO42" s="57"/>
      <c r="AP42" s="57"/>
      <c r="AQ42" s="57"/>
      <c r="AR42" s="57"/>
      <c r="AS42" s="57"/>
      <c r="AT42" s="57"/>
      <c r="AU42" s="57"/>
      <c r="AV42" s="57"/>
      <c r="AW42" s="57"/>
      <c r="AX42" s="57"/>
      <c r="AY42" s="57"/>
      <c r="AZ42" s="57"/>
      <c r="BA42" s="57"/>
      <c r="BB42" s="57"/>
      <c r="BC42" s="57"/>
      <c r="BD42" s="57"/>
      <c r="BE42" s="57"/>
      <c r="BF42" s="57"/>
      <c r="BG42" s="57"/>
      <c r="BH42" s="57"/>
      <c r="BI42" s="57"/>
      <c r="BJ42" s="57"/>
      <c r="BK42" s="57"/>
      <c r="BL42" s="57"/>
      <c r="BM42" s="57"/>
      <c r="BN42" s="57"/>
      <c r="BO42" s="57"/>
      <c r="BP42" s="57"/>
      <c r="BQ42" s="57"/>
      <c r="BR42" s="57"/>
      <c r="BS42" s="57"/>
      <c r="BT42" s="57"/>
      <c r="BU42" s="57"/>
      <c r="BV42" s="57"/>
      <c r="BW42" s="57"/>
      <c r="BX42" s="57"/>
      <c r="BY42" s="57"/>
      <c r="BZ42" s="57"/>
      <c r="CA42" s="57"/>
      <c r="CB42" s="57"/>
      <c r="CC42" s="57"/>
      <c r="CD42" s="57"/>
      <c r="CE42" s="57"/>
      <c r="CF42" s="57"/>
      <c r="CG42" s="57"/>
      <c r="CH42" s="57"/>
      <c r="CI42" s="57"/>
      <c r="CJ42" s="57"/>
      <c r="CK42" s="57"/>
      <c r="CL42" s="57"/>
      <c r="CM42" s="57"/>
      <c r="CN42" s="57"/>
      <c r="CO42" s="57"/>
      <c r="CP42" s="57"/>
      <c r="CQ42" s="57"/>
      <c r="CR42" s="57"/>
      <c r="CS42" s="57"/>
      <c r="CT42" s="57"/>
      <c r="CU42" s="57"/>
      <c r="CV42" s="57"/>
      <c r="CW42" s="57"/>
      <c r="CX42" s="57"/>
      <c r="CY42" s="57"/>
      <c r="CZ42" s="57"/>
      <c r="DA42" s="57"/>
      <c r="DB42" s="57"/>
      <c r="DC42" s="57"/>
      <c r="DD42" s="57"/>
      <c r="DE42" s="57"/>
      <c r="DF42" s="57"/>
      <c r="DG42" s="57"/>
      <c r="DH42" s="57"/>
      <c r="DI42" s="57"/>
      <c r="DJ42" s="57"/>
      <c r="DK42" s="57"/>
      <c r="DL42" s="57"/>
      <c r="DM42" s="57"/>
      <c r="DN42" s="57"/>
      <c r="DO42" s="57"/>
      <c r="DP42" s="57"/>
      <c r="DQ42" s="57"/>
      <c r="DR42" s="57"/>
      <c r="DS42" s="57"/>
      <c r="DT42" s="57"/>
      <c r="DU42" s="57"/>
      <c r="DV42" s="57"/>
      <c r="DW42" s="57"/>
      <c r="DX42" s="57"/>
      <c r="DY42" s="57"/>
      <c r="DZ42" s="57"/>
      <c r="EA42" s="57"/>
      <c r="EB42" s="57"/>
      <c r="EC42" s="57"/>
      <c r="ED42" s="57"/>
    </row>
    <row r="43" spans="1:134" x14ac:dyDescent="0.25">
      <c r="A43" s="34"/>
      <c r="G43" s="34"/>
    </row>
    <row r="44" spans="1:134" x14ac:dyDescent="0.25">
      <c r="B44" s="58"/>
      <c r="C44" s="58"/>
      <c r="F44" s="59"/>
    </row>
    <row r="45" spans="1:134" x14ac:dyDescent="0.25">
      <c r="B45" s="14"/>
      <c r="C45" s="2"/>
    </row>
    <row r="46" spans="1:134" x14ac:dyDescent="0.25">
      <c r="B46" s="60"/>
    </row>
  </sheetData>
  <sheetProtection sheet="1" scenarios="1" formatCells="0" formatColumns="0" formatRows="0" insertRows="0" deleteRows="0"/>
  <mergeCells count="21">
    <mergeCell ref="E2:F2"/>
    <mergeCell ref="I4:O4"/>
    <mergeCell ref="P4:V4"/>
    <mergeCell ref="W4:AC4"/>
    <mergeCell ref="AD4:AJ4"/>
    <mergeCell ref="E3:F3"/>
    <mergeCell ref="I1:N1"/>
    <mergeCell ref="DC4:DI4"/>
    <mergeCell ref="DJ4:DP4"/>
    <mergeCell ref="DQ4:DW4"/>
    <mergeCell ref="DX4:ED4"/>
    <mergeCell ref="BT4:BZ4"/>
    <mergeCell ref="CA4:CG4"/>
    <mergeCell ref="CH4:CN4"/>
    <mergeCell ref="CO4:CU4"/>
    <mergeCell ref="CV4:DB4"/>
    <mergeCell ref="BM4:BS4"/>
    <mergeCell ref="AK4:AQ4"/>
    <mergeCell ref="AR4:AX4"/>
    <mergeCell ref="AY4:BE4"/>
    <mergeCell ref="BF4:BL4"/>
  </mergeCells>
  <conditionalFormatting sqref="D7:D42">
    <cfRule type="dataBar" priority="42">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I5:ED42">
    <cfRule type="expression" dxfId="5" priority="3">
      <formula>AND(today&gt;=I$5,today&lt;I$5+1)</formula>
    </cfRule>
  </conditionalFormatting>
  <conditionalFormatting sqref="I7:ED42">
    <cfRule type="expression" dxfId="4" priority="1">
      <formula>AND(task_start&lt;=I$5,ROUNDDOWN((task_end-task_start+1)*task_progress,0)+task_start-1&gt;=I$5)</formula>
    </cfRule>
    <cfRule type="expression" dxfId="3" priority="2" stopIfTrue="1">
      <formula>AND(task_end&gt;=I$5,task_start&lt;I$5+1)</formula>
    </cfRule>
  </conditionalFormatting>
  <dataValidations count="2">
    <dataValidation type="whole" operator="greaterThanOrEqual" allowBlank="1" showInputMessage="1" promptTitle="Display Week" prompt="Changing this number will scroll the Gantt Chart view." sqref="E4" xr:uid="{00000000-0002-0000-0000-000000000000}">
      <formula1>1</formula1>
    </dataValidation>
    <dataValidation type="date" allowBlank="1" showInputMessage="1" showErrorMessage="1" errorTitle="Not a date" error="Enter a date like 2026-11-02." promptTitle="Date" prompt="Type a date like 2026-11-02." sqref="E7:F42" xr:uid="{F9A0DB70-7AEB-4E6F-BC99-7ABB1BD25F3D}">
      <formula1>36526</formula1>
      <formula2>73050</formula2>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6147"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6148"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6149"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D7:D42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10C75-AE45-4028-ADC1-4025300215F3}">
  <sheetPr codeName="Sheet3">
    <pageSetUpPr fitToPage="1"/>
  </sheetPr>
  <dimension ref="A1:ED17"/>
  <sheetViews>
    <sheetView showGridLines="0" showRuler="0" zoomScale="80" zoomScaleNormal="80" zoomScalePageLayoutView="70" workbookViewId="0">
      <pane ySplit="6" topLeftCell="A7" activePane="bottomLeft" state="frozen"/>
      <selection pane="bottomLeft" activeCell="AS3" sqref="AS3"/>
    </sheetView>
  </sheetViews>
  <sheetFormatPr defaultRowHeight="15" x14ac:dyDescent="0.25"/>
  <cols>
    <col min="1" max="1" width="2.7109375" style="21" customWidth="1"/>
    <col min="2" max="2" width="32.28515625" style="21" customWidth="1"/>
    <col min="3" max="3" width="9.140625" style="21" customWidth="1"/>
    <col min="4" max="4" width="10.7109375" style="21" customWidth="1"/>
    <col min="5" max="5" width="29.85546875" style="40" customWidth="1"/>
    <col min="6" max="6" width="30.42578125" style="21" customWidth="1"/>
    <col min="7" max="7" width="2.7109375" style="21" customWidth="1"/>
    <col min="8" max="8" width="6.140625" style="21" hidden="1" customWidth="1"/>
    <col min="9" max="64" width="2.5703125" style="21" customWidth="1"/>
    <col min="65" max="134" width="3" style="21" customWidth="1"/>
    <col min="135" max="16384" width="9.140625" style="21"/>
  </cols>
  <sheetData>
    <row r="1" spans="1:134" ht="28.5" x14ac:dyDescent="0.45">
      <c r="B1" s="61" t="s">
        <v>53</v>
      </c>
      <c r="C1" s="29"/>
      <c r="D1" s="30"/>
      <c r="E1" s="31"/>
      <c r="F1" s="32"/>
      <c r="H1" s="30"/>
      <c r="I1" s="20" t="str">
        <f>HYPERLINK("#'Projects'!A1","◄ All projects")</f>
        <v>◄ All projects</v>
      </c>
      <c r="J1" s="20"/>
      <c r="K1" s="20"/>
      <c r="L1" s="20"/>
      <c r="M1" s="20"/>
      <c r="N1" s="20"/>
      <c r="O1" s="17"/>
      <c r="P1" s="17"/>
      <c r="Q1" s="17"/>
      <c r="R1" s="17"/>
      <c r="S1" s="17"/>
      <c r="T1" s="17"/>
      <c r="U1" s="17"/>
      <c r="V1" s="17"/>
      <c r="W1" s="17"/>
      <c r="X1" s="17"/>
      <c r="Y1" s="17"/>
      <c r="Z1" s="17"/>
      <c r="AA1" s="17"/>
    </row>
    <row r="2" spans="1:134" ht="19.5" customHeight="1" x14ac:dyDescent="0.3">
      <c r="B2" s="33" t="s">
        <v>1</v>
      </c>
      <c r="D2" s="34" t="s">
        <v>2</v>
      </c>
      <c r="E2" s="63">
        <v>45313</v>
      </c>
      <c r="F2" s="64"/>
    </row>
    <row r="3" spans="1:134" ht="19.5" customHeight="1" x14ac:dyDescent="0.3">
      <c r="B3" s="62" t="s">
        <v>54</v>
      </c>
      <c r="D3" s="34" t="s">
        <v>4</v>
      </c>
      <c r="E3" s="35">
        <f ca="1">TODAY()</f>
        <v>46317</v>
      </c>
      <c r="F3" s="36"/>
      <c r="I3" s="66"/>
      <c r="J3" s="66"/>
      <c r="K3" s="66"/>
      <c r="L3" s="66"/>
      <c r="M3" s="66"/>
      <c r="N3" s="66"/>
      <c r="O3" s="66"/>
      <c r="P3" s="66"/>
      <c r="Q3" s="66"/>
      <c r="R3" s="66"/>
      <c r="S3" s="66"/>
      <c r="T3" s="66"/>
      <c r="U3" s="66"/>
      <c r="V3" s="66"/>
      <c r="W3" s="66"/>
      <c r="X3" s="66"/>
      <c r="Y3" s="66"/>
      <c r="Z3" s="66"/>
      <c r="AA3" s="66"/>
      <c r="AB3" s="66"/>
      <c r="AC3" s="66"/>
      <c r="AD3" s="66"/>
      <c r="AE3" s="66"/>
      <c r="AF3" s="66"/>
      <c r="AG3" s="66"/>
      <c r="AH3" s="66"/>
      <c r="AI3" s="66"/>
      <c r="AJ3" s="66"/>
      <c r="AK3" s="66"/>
      <c r="AL3" s="66"/>
      <c r="AM3" s="66"/>
      <c r="AN3" s="66"/>
      <c r="AO3" s="66"/>
      <c r="AP3" s="66"/>
      <c r="AQ3" s="66"/>
      <c r="AR3" s="66"/>
      <c r="AS3" s="67"/>
      <c r="AT3" s="66"/>
      <c r="AU3" s="66"/>
      <c r="AV3" s="66"/>
      <c r="AW3" s="66"/>
      <c r="AX3" s="66"/>
      <c r="AY3" s="66"/>
      <c r="AZ3" s="66"/>
      <c r="BA3" s="66"/>
      <c r="BB3" s="66"/>
      <c r="BC3" s="66"/>
      <c r="BD3" s="66"/>
      <c r="BE3" s="66"/>
      <c r="BF3" s="66"/>
      <c r="BG3" s="66"/>
      <c r="BH3" s="66"/>
      <c r="BI3" s="66"/>
      <c r="BJ3" s="66"/>
      <c r="BK3" s="66"/>
      <c r="BL3" s="66"/>
      <c r="BM3" s="66"/>
      <c r="BN3" s="66"/>
      <c r="BO3" s="66"/>
      <c r="BP3" s="66"/>
      <c r="BQ3" s="66"/>
      <c r="BR3" s="66"/>
      <c r="BS3" s="66"/>
      <c r="BT3" s="66"/>
      <c r="BU3" s="66"/>
      <c r="BV3" s="66"/>
      <c r="BW3" s="66"/>
      <c r="BX3" s="66"/>
      <c r="BY3" s="66"/>
      <c r="BZ3" s="66"/>
      <c r="CA3" s="66"/>
      <c r="CB3" s="66"/>
      <c r="CC3" s="66"/>
      <c r="CD3" s="66"/>
      <c r="CE3" s="66"/>
      <c r="CF3" s="66"/>
      <c r="CG3" s="66"/>
      <c r="CH3" s="66"/>
      <c r="CI3" s="66"/>
      <c r="CJ3" s="66"/>
      <c r="CK3" s="66"/>
      <c r="CL3" s="66"/>
      <c r="CM3" s="66"/>
      <c r="CN3" s="66"/>
      <c r="CO3" s="66"/>
      <c r="CP3" s="66"/>
      <c r="CQ3" s="66"/>
      <c r="CR3" s="66"/>
      <c r="CS3" s="66"/>
      <c r="CT3" s="66"/>
      <c r="CU3" s="66"/>
      <c r="CV3" s="66"/>
      <c r="CW3" s="66"/>
      <c r="CX3" s="66"/>
      <c r="CY3" s="66"/>
      <c r="CZ3" s="66"/>
      <c r="DA3" s="66"/>
      <c r="DB3" s="66"/>
      <c r="DC3" s="66"/>
      <c r="DD3" s="66"/>
      <c r="DE3" s="66"/>
      <c r="DF3" s="66"/>
      <c r="DG3" s="66"/>
      <c r="DH3" s="66"/>
      <c r="DI3" s="66"/>
      <c r="DJ3" s="66"/>
      <c r="DK3" s="66"/>
      <c r="DL3" s="66"/>
      <c r="DM3" s="66"/>
      <c r="DN3" s="66"/>
      <c r="DO3" s="66"/>
      <c r="DP3" s="66"/>
      <c r="DQ3" s="66"/>
      <c r="DR3" s="66"/>
      <c r="DS3" s="66"/>
      <c r="DT3" s="66"/>
      <c r="DU3" s="66"/>
      <c r="DV3" s="66"/>
      <c r="DW3" s="66"/>
      <c r="DX3" s="66"/>
      <c r="DY3" s="66"/>
      <c r="DZ3" s="66"/>
      <c r="EA3" s="66"/>
      <c r="EB3" s="66"/>
      <c r="EC3" s="66"/>
      <c r="ED3" s="66"/>
    </row>
    <row r="4" spans="1:134" ht="19.5" customHeight="1" x14ac:dyDescent="0.25">
      <c r="D4" s="34" t="s">
        <v>8</v>
      </c>
      <c r="E4" s="65">
        <v>1</v>
      </c>
      <c r="I4" s="37">
        <f>I5</f>
        <v>45313</v>
      </c>
      <c r="J4" s="38"/>
      <c r="K4" s="38"/>
      <c r="L4" s="38"/>
      <c r="M4" s="38"/>
      <c r="N4" s="38"/>
      <c r="O4" s="39"/>
      <c r="P4" s="37">
        <f>P5</f>
        <v>45320</v>
      </c>
      <c r="Q4" s="38"/>
      <c r="R4" s="38"/>
      <c r="S4" s="38"/>
      <c r="T4" s="38"/>
      <c r="U4" s="38"/>
      <c r="V4" s="39"/>
      <c r="W4" s="37">
        <f>W5</f>
        <v>45327</v>
      </c>
      <c r="X4" s="38"/>
      <c r="Y4" s="38"/>
      <c r="Z4" s="38"/>
      <c r="AA4" s="38"/>
      <c r="AB4" s="38"/>
      <c r="AC4" s="39"/>
      <c r="AD4" s="37">
        <f>AD5</f>
        <v>45334</v>
      </c>
      <c r="AE4" s="38"/>
      <c r="AF4" s="38"/>
      <c r="AG4" s="38"/>
      <c r="AH4" s="38"/>
      <c r="AI4" s="38"/>
      <c r="AJ4" s="39"/>
      <c r="AK4" s="37">
        <f>AK5</f>
        <v>45341</v>
      </c>
      <c r="AL4" s="38"/>
      <c r="AM4" s="38"/>
      <c r="AN4" s="38"/>
      <c r="AO4" s="38"/>
      <c r="AP4" s="38"/>
      <c r="AQ4" s="39"/>
      <c r="AR4" s="37">
        <f>AR5</f>
        <v>45348</v>
      </c>
      <c r="AS4" s="38"/>
      <c r="AT4" s="38"/>
      <c r="AU4" s="38"/>
      <c r="AV4" s="38"/>
      <c r="AW4" s="38"/>
      <c r="AX4" s="39"/>
      <c r="AY4" s="37">
        <f>AY5</f>
        <v>45355</v>
      </c>
      <c r="AZ4" s="38"/>
      <c r="BA4" s="38"/>
      <c r="BB4" s="38"/>
      <c r="BC4" s="38"/>
      <c r="BD4" s="38"/>
      <c r="BE4" s="39"/>
      <c r="BF4" s="37">
        <f>BF5</f>
        <v>45362</v>
      </c>
      <c r="BG4" s="38"/>
      <c r="BH4" s="38"/>
      <c r="BI4" s="38"/>
      <c r="BJ4" s="38"/>
      <c r="BK4" s="38"/>
      <c r="BL4" s="39"/>
      <c r="BM4" s="37">
        <f>BM5</f>
        <v>45369</v>
      </c>
      <c r="BN4" s="38"/>
      <c r="BO4" s="38"/>
      <c r="BP4" s="38"/>
      <c r="BQ4" s="38"/>
      <c r="BR4" s="38"/>
      <c r="BS4" s="39"/>
      <c r="BT4" s="37">
        <f>BT5</f>
        <v>45376</v>
      </c>
      <c r="BU4" s="38"/>
      <c r="BV4" s="38"/>
      <c r="BW4" s="38"/>
      <c r="BX4" s="38"/>
      <c r="BY4" s="38"/>
      <c r="BZ4" s="39"/>
      <c r="CA4" s="37">
        <f>CA5</f>
        <v>45383</v>
      </c>
      <c r="CB4" s="38"/>
      <c r="CC4" s="38"/>
      <c r="CD4" s="38"/>
      <c r="CE4" s="38"/>
      <c r="CF4" s="38"/>
      <c r="CG4" s="39"/>
      <c r="CH4" s="37">
        <f>CH5</f>
        <v>45390</v>
      </c>
      <c r="CI4" s="38"/>
      <c r="CJ4" s="38"/>
      <c r="CK4" s="38"/>
      <c r="CL4" s="38"/>
      <c r="CM4" s="38"/>
      <c r="CN4" s="39"/>
      <c r="CO4" s="37">
        <f>CO5</f>
        <v>45397</v>
      </c>
      <c r="CP4" s="38"/>
      <c r="CQ4" s="38"/>
      <c r="CR4" s="38"/>
      <c r="CS4" s="38"/>
      <c r="CT4" s="38"/>
      <c r="CU4" s="39"/>
      <c r="CV4" s="37">
        <f>CV5</f>
        <v>45404</v>
      </c>
      <c r="CW4" s="38"/>
      <c r="CX4" s="38"/>
      <c r="CY4" s="38"/>
      <c r="CZ4" s="38"/>
      <c r="DA4" s="38"/>
      <c r="DB4" s="39"/>
      <c r="DC4" s="37">
        <f>DC5</f>
        <v>45411</v>
      </c>
      <c r="DD4" s="38"/>
      <c r="DE4" s="38"/>
      <c r="DF4" s="38"/>
      <c r="DG4" s="38"/>
      <c r="DH4" s="38"/>
      <c r="DI4" s="39"/>
      <c r="DJ4" s="37">
        <f>DJ5</f>
        <v>45418</v>
      </c>
      <c r="DK4" s="38"/>
      <c r="DL4" s="38"/>
      <c r="DM4" s="38"/>
      <c r="DN4" s="38"/>
      <c r="DO4" s="38"/>
      <c r="DP4" s="39"/>
      <c r="DQ4" s="37">
        <f>DQ5</f>
        <v>45425</v>
      </c>
      <c r="DR4" s="38"/>
      <c r="DS4" s="38"/>
      <c r="DT4" s="38"/>
      <c r="DU4" s="38"/>
      <c r="DV4" s="38"/>
      <c r="DW4" s="39"/>
      <c r="DX4" s="37">
        <f>DX5</f>
        <v>45432</v>
      </c>
      <c r="DY4" s="38"/>
      <c r="DZ4" s="38"/>
      <c r="EA4" s="38"/>
      <c r="EB4" s="38"/>
      <c r="EC4" s="38"/>
      <c r="ED4" s="39"/>
    </row>
    <row r="5" spans="1:134" x14ac:dyDescent="0.25">
      <c r="A5" s="34"/>
      <c r="G5" s="34"/>
      <c r="I5" s="121">
        <f>E2-WEEKDAY(E2,1)+2+7*(E4-1)</f>
        <v>45313</v>
      </c>
      <c r="J5" s="122">
        <f>I5+1</f>
        <v>45314</v>
      </c>
      <c r="K5" s="122">
        <f t="shared" ref="K5:AX5" si="0">J5+1</f>
        <v>45315</v>
      </c>
      <c r="L5" s="122">
        <f t="shared" si="0"/>
        <v>45316</v>
      </c>
      <c r="M5" s="122">
        <f t="shared" si="0"/>
        <v>45317</v>
      </c>
      <c r="N5" s="122">
        <f t="shared" si="0"/>
        <v>45318</v>
      </c>
      <c r="O5" s="123">
        <f t="shared" si="0"/>
        <v>45319</v>
      </c>
      <c r="P5" s="121">
        <f>O5+1</f>
        <v>45320</v>
      </c>
      <c r="Q5" s="122">
        <f>P5+1</f>
        <v>45321</v>
      </c>
      <c r="R5" s="122">
        <f t="shared" si="0"/>
        <v>45322</v>
      </c>
      <c r="S5" s="122">
        <f t="shared" si="0"/>
        <v>45323</v>
      </c>
      <c r="T5" s="122">
        <f t="shared" si="0"/>
        <v>45324</v>
      </c>
      <c r="U5" s="122">
        <f t="shared" si="0"/>
        <v>45325</v>
      </c>
      <c r="V5" s="123">
        <f t="shared" si="0"/>
        <v>45326</v>
      </c>
      <c r="W5" s="121">
        <f>V5+1</f>
        <v>45327</v>
      </c>
      <c r="X5" s="122">
        <f>W5+1</f>
        <v>45328</v>
      </c>
      <c r="Y5" s="122">
        <f t="shared" si="0"/>
        <v>45329</v>
      </c>
      <c r="Z5" s="122">
        <f t="shared" si="0"/>
        <v>45330</v>
      </c>
      <c r="AA5" s="122">
        <f t="shared" si="0"/>
        <v>45331</v>
      </c>
      <c r="AB5" s="122">
        <f t="shared" si="0"/>
        <v>45332</v>
      </c>
      <c r="AC5" s="123">
        <f t="shared" si="0"/>
        <v>45333</v>
      </c>
      <c r="AD5" s="121">
        <f>AC5+1</f>
        <v>45334</v>
      </c>
      <c r="AE5" s="122">
        <f>AD5+1</f>
        <v>45335</v>
      </c>
      <c r="AF5" s="122">
        <f t="shared" si="0"/>
        <v>45336</v>
      </c>
      <c r="AG5" s="122">
        <f t="shared" si="0"/>
        <v>45337</v>
      </c>
      <c r="AH5" s="122">
        <f t="shared" si="0"/>
        <v>45338</v>
      </c>
      <c r="AI5" s="122">
        <f t="shared" si="0"/>
        <v>45339</v>
      </c>
      <c r="AJ5" s="123">
        <f t="shared" si="0"/>
        <v>45340</v>
      </c>
      <c r="AK5" s="121">
        <f>AJ5+1</f>
        <v>45341</v>
      </c>
      <c r="AL5" s="122">
        <f>AK5+1</f>
        <v>45342</v>
      </c>
      <c r="AM5" s="122">
        <f t="shared" si="0"/>
        <v>45343</v>
      </c>
      <c r="AN5" s="122">
        <f t="shared" si="0"/>
        <v>45344</v>
      </c>
      <c r="AO5" s="122">
        <f t="shared" si="0"/>
        <v>45345</v>
      </c>
      <c r="AP5" s="122">
        <f t="shared" si="0"/>
        <v>45346</v>
      </c>
      <c r="AQ5" s="123">
        <f t="shared" si="0"/>
        <v>45347</v>
      </c>
      <c r="AR5" s="121">
        <f>AQ5+1</f>
        <v>45348</v>
      </c>
      <c r="AS5" s="122">
        <f>AR5+1</f>
        <v>45349</v>
      </c>
      <c r="AT5" s="122">
        <f t="shared" si="0"/>
        <v>45350</v>
      </c>
      <c r="AU5" s="122">
        <f t="shared" si="0"/>
        <v>45351</v>
      </c>
      <c r="AV5" s="122">
        <f t="shared" si="0"/>
        <v>45352</v>
      </c>
      <c r="AW5" s="122">
        <f t="shared" si="0"/>
        <v>45353</v>
      </c>
      <c r="AX5" s="123">
        <f t="shared" si="0"/>
        <v>45354</v>
      </c>
      <c r="AY5" s="121">
        <f>AX5+1</f>
        <v>45355</v>
      </c>
      <c r="AZ5" s="122">
        <f>AY5+1</f>
        <v>45356</v>
      </c>
      <c r="BA5" s="122">
        <f t="shared" ref="BA5:BE5" si="1">AZ5+1</f>
        <v>45357</v>
      </c>
      <c r="BB5" s="122">
        <f t="shared" si="1"/>
        <v>45358</v>
      </c>
      <c r="BC5" s="122">
        <f t="shared" si="1"/>
        <v>45359</v>
      </c>
      <c r="BD5" s="122">
        <f t="shared" si="1"/>
        <v>45360</v>
      </c>
      <c r="BE5" s="123">
        <f t="shared" si="1"/>
        <v>45361</v>
      </c>
      <c r="BF5" s="121">
        <f>BE5+1</f>
        <v>45362</v>
      </c>
      <c r="BG5" s="122">
        <f>BF5+1</f>
        <v>45363</v>
      </c>
      <c r="BH5" s="122">
        <f t="shared" ref="BH5:BL5" si="2">BG5+1</f>
        <v>45364</v>
      </c>
      <c r="BI5" s="122">
        <f t="shared" si="2"/>
        <v>45365</v>
      </c>
      <c r="BJ5" s="122">
        <f t="shared" si="2"/>
        <v>45366</v>
      </c>
      <c r="BK5" s="122">
        <f t="shared" si="2"/>
        <v>45367</v>
      </c>
      <c r="BL5" s="123">
        <f t="shared" si="2"/>
        <v>45368</v>
      </c>
      <c r="BM5" s="121">
        <f>BL5+1</f>
        <v>45369</v>
      </c>
      <c r="BN5" s="122">
        <f>BM5+1</f>
        <v>45370</v>
      </c>
      <c r="BO5" s="122">
        <f t="shared" ref="BO5:DZ5" si="3">BN5+1</f>
        <v>45371</v>
      </c>
      <c r="BP5" s="122">
        <f t="shared" si="3"/>
        <v>45372</v>
      </c>
      <c r="BQ5" s="122">
        <f t="shared" si="3"/>
        <v>45373</v>
      </c>
      <c r="BR5" s="122">
        <f t="shared" si="3"/>
        <v>45374</v>
      </c>
      <c r="BS5" s="123">
        <f t="shared" si="3"/>
        <v>45375</v>
      </c>
      <c r="BT5" s="121">
        <f t="shared" si="3"/>
        <v>45376</v>
      </c>
      <c r="BU5" s="122">
        <f t="shared" si="3"/>
        <v>45377</v>
      </c>
      <c r="BV5" s="122">
        <f t="shared" si="3"/>
        <v>45378</v>
      </c>
      <c r="BW5" s="122">
        <f t="shared" si="3"/>
        <v>45379</v>
      </c>
      <c r="BX5" s="122">
        <f t="shared" si="3"/>
        <v>45380</v>
      </c>
      <c r="BY5" s="122">
        <f t="shared" si="3"/>
        <v>45381</v>
      </c>
      <c r="BZ5" s="123">
        <f t="shared" si="3"/>
        <v>45382</v>
      </c>
      <c r="CA5" s="121">
        <f t="shared" si="3"/>
        <v>45383</v>
      </c>
      <c r="CB5" s="122">
        <f t="shared" si="3"/>
        <v>45384</v>
      </c>
      <c r="CC5" s="122">
        <f t="shared" si="3"/>
        <v>45385</v>
      </c>
      <c r="CD5" s="122">
        <f t="shared" si="3"/>
        <v>45386</v>
      </c>
      <c r="CE5" s="122">
        <f t="shared" si="3"/>
        <v>45387</v>
      </c>
      <c r="CF5" s="122">
        <f t="shared" si="3"/>
        <v>45388</v>
      </c>
      <c r="CG5" s="123">
        <f t="shared" si="3"/>
        <v>45389</v>
      </c>
      <c r="CH5" s="121">
        <f t="shared" si="3"/>
        <v>45390</v>
      </c>
      <c r="CI5" s="122">
        <f t="shared" si="3"/>
        <v>45391</v>
      </c>
      <c r="CJ5" s="122">
        <f t="shared" si="3"/>
        <v>45392</v>
      </c>
      <c r="CK5" s="122">
        <f t="shared" si="3"/>
        <v>45393</v>
      </c>
      <c r="CL5" s="122">
        <f t="shared" si="3"/>
        <v>45394</v>
      </c>
      <c r="CM5" s="122">
        <f t="shared" si="3"/>
        <v>45395</v>
      </c>
      <c r="CN5" s="123">
        <f t="shared" si="3"/>
        <v>45396</v>
      </c>
      <c r="CO5" s="121">
        <f t="shared" si="3"/>
        <v>45397</v>
      </c>
      <c r="CP5" s="122">
        <f t="shared" si="3"/>
        <v>45398</v>
      </c>
      <c r="CQ5" s="122">
        <f t="shared" si="3"/>
        <v>45399</v>
      </c>
      <c r="CR5" s="122">
        <f t="shared" si="3"/>
        <v>45400</v>
      </c>
      <c r="CS5" s="122">
        <f t="shared" si="3"/>
        <v>45401</v>
      </c>
      <c r="CT5" s="122">
        <f t="shared" si="3"/>
        <v>45402</v>
      </c>
      <c r="CU5" s="123">
        <f t="shared" si="3"/>
        <v>45403</v>
      </c>
      <c r="CV5" s="121">
        <f t="shared" si="3"/>
        <v>45404</v>
      </c>
      <c r="CW5" s="122">
        <f t="shared" si="3"/>
        <v>45405</v>
      </c>
      <c r="CX5" s="122">
        <f t="shared" si="3"/>
        <v>45406</v>
      </c>
      <c r="CY5" s="122">
        <f t="shared" si="3"/>
        <v>45407</v>
      </c>
      <c r="CZ5" s="122">
        <f t="shared" si="3"/>
        <v>45408</v>
      </c>
      <c r="DA5" s="122">
        <f t="shared" si="3"/>
        <v>45409</v>
      </c>
      <c r="DB5" s="123">
        <f t="shared" si="3"/>
        <v>45410</v>
      </c>
      <c r="DC5" s="121">
        <f t="shared" si="3"/>
        <v>45411</v>
      </c>
      <c r="DD5" s="122">
        <f t="shared" si="3"/>
        <v>45412</v>
      </c>
      <c r="DE5" s="122">
        <f t="shared" si="3"/>
        <v>45413</v>
      </c>
      <c r="DF5" s="122">
        <f t="shared" si="3"/>
        <v>45414</v>
      </c>
      <c r="DG5" s="122">
        <f t="shared" si="3"/>
        <v>45415</v>
      </c>
      <c r="DH5" s="122">
        <f t="shared" si="3"/>
        <v>45416</v>
      </c>
      <c r="DI5" s="123">
        <f t="shared" si="3"/>
        <v>45417</v>
      </c>
      <c r="DJ5" s="121">
        <f t="shared" si="3"/>
        <v>45418</v>
      </c>
      <c r="DK5" s="122">
        <f t="shared" si="3"/>
        <v>45419</v>
      </c>
      <c r="DL5" s="122">
        <f t="shared" si="3"/>
        <v>45420</v>
      </c>
      <c r="DM5" s="122">
        <f t="shared" si="3"/>
        <v>45421</v>
      </c>
      <c r="DN5" s="122">
        <f t="shared" si="3"/>
        <v>45422</v>
      </c>
      <c r="DO5" s="122">
        <f t="shared" si="3"/>
        <v>45423</v>
      </c>
      <c r="DP5" s="123">
        <f t="shared" si="3"/>
        <v>45424</v>
      </c>
      <c r="DQ5" s="121">
        <f t="shared" si="3"/>
        <v>45425</v>
      </c>
      <c r="DR5" s="122">
        <f t="shared" si="3"/>
        <v>45426</v>
      </c>
      <c r="DS5" s="122">
        <f t="shared" si="3"/>
        <v>45427</v>
      </c>
      <c r="DT5" s="122">
        <f t="shared" si="3"/>
        <v>45428</v>
      </c>
      <c r="DU5" s="122">
        <f t="shared" si="3"/>
        <v>45429</v>
      </c>
      <c r="DV5" s="122">
        <f t="shared" si="3"/>
        <v>45430</v>
      </c>
      <c r="DW5" s="123">
        <f t="shared" si="3"/>
        <v>45431</v>
      </c>
      <c r="DX5" s="121">
        <f t="shared" si="3"/>
        <v>45432</v>
      </c>
      <c r="DY5" s="122">
        <f t="shared" si="3"/>
        <v>45433</v>
      </c>
      <c r="DZ5" s="122">
        <f t="shared" si="3"/>
        <v>45434</v>
      </c>
      <c r="EA5" s="122">
        <f t="shared" ref="EA5:ED5" si="4">DZ5+1</f>
        <v>45435</v>
      </c>
      <c r="EB5" s="122">
        <f t="shared" si="4"/>
        <v>45436</v>
      </c>
      <c r="EC5" s="122">
        <f t="shared" si="4"/>
        <v>45437</v>
      </c>
      <c r="ED5" s="123">
        <f t="shared" si="4"/>
        <v>45438</v>
      </c>
    </row>
    <row r="6" spans="1:134" ht="29.25" customHeight="1" thickBot="1" x14ac:dyDescent="0.3">
      <c r="A6" s="46"/>
      <c r="B6" s="47" t="s">
        <v>9</v>
      </c>
      <c r="C6" s="48" t="s">
        <v>10</v>
      </c>
      <c r="D6" s="48" t="s">
        <v>11</v>
      </c>
      <c r="E6" s="48" t="s">
        <v>102</v>
      </c>
      <c r="F6" s="48" t="s">
        <v>103</v>
      </c>
      <c r="G6" s="48"/>
      <c r="H6" s="48" t="s">
        <v>12</v>
      </c>
      <c r="I6" s="49" t="str">
        <f t="shared" ref="I6:BT6" si="5">LEFT(TEXT(I5,"ddd"),1)</f>
        <v>M</v>
      </c>
      <c r="J6" s="49" t="str">
        <f t="shared" si="5"/>
        <v>T</v>
      </c>
      <c r="K6" s="49" t="str">
        <f t="shared" si="5"/>
        <v>W</v>
      </c>
      <c r="L6" s="49" t="str">
        <f t="shared" si="5"/>
        <v>T</v>
      </c>
      <c r="M6" s="49" t="str">
        <f t="shared" si="5"/>
        <v>F</v>
      </c>
      <c r="N6" s="49" t="str">
        <f t="shared" si="5"/>
        <v>S</v>
      </c>
      <c r="O6" s="49" t="str">
        <f t="shared" si="5"/>
        <v>S</v>
      </c>
      <c r="P6" s="49" t="str">
        <f t="shared" si="5"/>
        <v>M</v>
      </c>
      <c r="Q6" s="49" t="str">
        <f t="shared" si="5"/>
        <v>T</v>
      </c>
      <c r="R6" s="49" t="str">
        <f t="shared" si="5"/>
        <v>W</v>
      </c>
      <c r="S6" s="49" t="str">
        <f t="shared" si="5"/>
        <v>T</v>
      </c>
      <c r="T6" s="49" t="str">
        <f t="shared" si="5"/>
        <v>F</v>
      </c>
      <c r="U6" s="49" t="str">
        <f t="shared" si="5"/>
        <v>S</v>
      </c>
      <c r="V6" s="49" t="str">
        <f t="shared" si="5"/>
        <v>S</v>
      </c>
      <c r="W6" s="49" t="str">
        <f t="shared" si="5"/>
        <v>M</v>
      </c>
      <c r="X6" s="49" t="str">
        <f t="shared" si="5"/>
        <v>T</v>
      </c>
      <c r="Y6" s="49" t="str">
        <f t="shared" si="5"/>
        <v>W</v>
      </c>
      <c r="Z6" s="49" t="str">
        <f t="shared" si="5"/>
        <v>T</v>
      </c>
      <c r="AA6" s="49" t="str">
        <f t="shared" si="5"/>
        <v>F</v>
      </c>
      <c r="AB6" s="49" t="str">
        <f t="shared" si="5"/>
        <v>S</v>
      </c>
      <c r="AC6" s="49" t="str">
        <f t="shared" si="5"/>
        <v>S</v>
      </c>
      <c r="AD6" s="49" t="str">
        <f t="shared" si="5"/>
        <v>M</v>
      </c>
      <c r="AE6" s="49" t="str">
        <f t="shared" si="5"/>
        <v>T</v>
      </c>
      <c r="AF6" s="49" t="str">
        <f t="shared" si="5"/>
        <v>W</v>
      </c>
      <c r="AG6" s="49" t="str">
        <f t="shared" si="5"/>
        <v>T</v>
      </c>
      <c r="AH6" s="49" t="str">
        <f t="shared" si="5"/>
        <v>F</v>
      </c>
      <c r="AI6" s="49" t="str">
        <f t="shared" si="5"/>
        <v>S</v>
      </c>
      <c r="AJ6" s="49" t="str">
        <f t="shared" si="5"/>
        <v>S</v>
      </c>
      <c r="AK6" s="49" t="str">
        <f t="shared" si="5"/>
        <v>M</v>
      </c>
      <c r="AL6" s="49" t="str">
        <f t="shared" si="5"/>
        <v>T</v>
      </c>
      <c r="AM6" s="49" t="str">
        <f t="shared" si="5"/>
        <v>W</v>
      </c>
      <c r="AN6" s="49" t="str">
        <f t="shared" si="5"/>
        <v>T</v>
      </c>
      <c r="AO6" s="49" t="str">
        <f t="shared" si="5"/>
        <v>F</v>
      </c>
      <c r="AP6" s="49" t="str">
        <f t="shared" si="5"/>
        <v>S</v>
      </c>
      <c r="AQ6" s="49" t="str">
        <f t="shared" si="5"/>
        <v>S</v>
      </c>
      <c r="AR6" s="49" t="str">
        <f t="shared" si="5"/>
        <v>M</v>
      </c>
      <c r="AS6" s="49" t="str">
        <f t="shared" si="5"/>
        <v>T</v>
      </c>
      <c r="AT6" s="49" t="str">
        <f t="shared" si="5"/>
        <v>W</v>
      </c>
      <c r="AU6" s="49" t="str">
        <f t="shared" si="5"/>
        <v>T</v>
      </c>
      <c r="AV6" s="49" t="str">
        <f t="shared" si="5"/>
        <v>F</v>
      </c>
      <c r="AW6" s="49" t="str">
        <f t="shared" si="5"/>
        <v>S</v>
      </c>
      <c r="AX6" s="49" t="str">
        <f t="shared" si="5"/>
        <v>S</v>
      </c>
      <c r="AY6" s="49" t="str">
        <f t="shared" si="5"/>
        <v>M</v>
      </c>
      <c r="AZ6" s="49" t="str">
        <f t="shared" si="5"/>
        <v>T</v>
      </c>
      <c r="BA6" s="49" t="str">
        <f t="shared" si="5"/>
        <v>W</v>
      </c>
      <c r="BB6" s="49" t="str">
        <f t="shared" si="5"/>
        <v>T</v>
      </c>
      <c r="BC6" s="49" t="str">
        <f t="shared" si="5"/>
        <v>F</v>
      </c>
      <c r="BD6" s="49" t="str">
        <f t="shared" si="5"/>
        <v>S</v>
      </c>
      <c r="BE6" s="49" t="str">
        <f t="shared" si="5"/>
        <v>S</v>
      </c>
      <c r="BF6" s="49" t="str">
        <f t="shared" si="5"/>
        <v>M</v>
      </c>
      <c r="BG6" s="49" t="str">
        <f t="shared" si="5"/>
        <v>T</v>
      </c>
      <c r="BH6" s="49" t="str">
        <f t="shared" si="5"/>
        <v>W</v>
      </c>
      <c r="BI6" s="49" t="str">
        <f t="shared" si="5"/>
        <v>T</v>
      </c>
      <c r="BJ6" s="49" t="str">
        <f t="shared" si="5"/>
        <v>F</v>
      </c>
      <c r="BK6" s="49" t="str">
        <f t="shared" si="5"/>
        <v>S</v>
      </c>
      <c r="BL6" s="49" t="str">
        <f t="shared" si="5"/>
        <v>S</v>
      </c>
      <c r="BM6" s="49" t="str">
        <f t="shared" si="5"/>
        <v>M</v>
      </c>
      <c r="BN6" s="49" t="str">
        <f t="shared" si="5"/>
        <v>T</v>
      </c>
      <c r="BO6" s="49" t="str">
        <f t="shared" si="5"/>
        <v>W</v>
      </c>
      <c r="BP6" s="49" t="str">
        <f t="shared" si="5"/>
        <v>T</v>
      </c>
      <c r="BQ6" s="49" t="str">
        <f t="shared" si="5"/>
        <v>F</v>
      </c>
      <c r="BR6" s="49" t="str">
        <f t="shared" si="5"/>
        <v>S</v>
      </c>
      <c r="BS6" s="49" t="str">
        <f t="shared" si="5"/>
        <v>S</v>
      </c>
      <c r="BT6" s="49" t="str">
        <f t="shared" si="5"/>
        <v>M</v>
      </c>
      <c r="BU6" s="49" t="str">
        <f t="shared" ref="BU6:ED6" si="6">LEFT(TEXT(BU5,"ddd"),1)</f>
        <v>T</v>
      </c>
      <c r="BV6" s="49" t="str">
        <f t="shared" si="6"/>
        <v>W</v>
      </c>
      <c r="BW6" s="49" t="str">
        <f t="shared" si="6"/>
        <v>T</v>
      </c>
      <c r="BX6" s="49" t="str">
        <f t="shared" si="6"/>
        <v>F</v>
      </c>
      <c r="BY6" s="49" t="str">
        <f t="shared" si="6"/>
        <v>S</v>
      </c>
      <c r="BZ6" s="49" t="str">
        <f t="shared" si="6"/>
        <v>S</v>
      </c>
      <c r="CA6" s="49" t="str">
        <f t="shared" si="6"/>
        <v>M</v>
      </c>
      <c r="CB6" s="49" t="str">
        <f t="shared" si="6"/>
        <v>T</v>
      </c>
      <c r="CC6" s="49" t="str">
        <f t="shared" si="6"/>
        <v>W</v>
      </c>
      <c r="CD6" s="49" t="str">
        <f t="shared" si="6"/>
        <v>T</v>
      </c>
      <c r="CE6" s="49" t="str">
        <f t="shared" si="6"/>
        <v>F</v>
      </c>
      <c r="CF6" s="49" t="str">
        <f t="shared" si="6"/>
        <v>S</v>
      </c>
      <c r="CG6" s="49" t="str">
        <f t="shared" si="6"/>
        <v>S</v>
      </c>
      <c r="CH6" s="49" t="str">
        <f t="shared" si="6"/>
        <v>M</v>
      </c>
      <c r="CI6" s="49" t="str">
        <f t="shared" si="6"/>
        <v>T</v>
      </c>
      <c r="CJ6" s="49" t="str">
        <f t="shared" si="6"/>
        <v>W</v>
      </c>
      <c r="CK6" s="49" t="str">
        <f t="shared" si="6"/>
        <v>T</v>
      </c>
      <c r="CL6" s="49" t="str">
        <f t="shared" si="6"/>
        <v>F</v>
      </c>
      <c r="CM6" s="49" t="str">
        <f t="shared" si="6"/>
        <v>S</v>
      </c>
      <c r="CN6" s="49" t="str">
        <f t="shared" si="6"/>
        <v>S</v>
      </c>
      <c r="CO6" s="49" t="str">
        <f t="shared" si="6"/>
        <v>M</v>
      </c>
      <c r="CP6" s="49" t="str">
        <f t="shared" si="6"/>
        <v>T</v>
      </c>
      <c r="CQ6" s="49" t="str">
        <f t="shared" si="6"/>
        <v>W</v>
      </c>
      <c r="CR6" s="49" t="str">
        <f t="shared" si="6"/>
        <v>T</v>
      </c>
      <c r="CS6" s="49" t="str">
        <f t="shared" si="6"/>
        <v>F</v>
      </c>
      <c r="CT6" s="49" t="str">
        <f t="shared" si="6"/>
        <v>S</v>
      </c>
      <c r="CU6" s="49" t="str">
        <f t="shared" si="6"/>
        <v>S</v>
      </c>
      <c r="CV6" s="49" t="str">
        <f t="shared" si="6"/>
        <v>M</v>
      </c>
      <c r="CW6" s="49" t="str">
        <f t="shared" si="6"/>
        <v>T</v>
      </c>
      <c r="CX6" s="49" t="str">
        <f t="shared" si="6"/>
        <v>W</v>
      </c>
      <c r="CY6" s="49" t="str">
        <f t="shared" si="6"/>
        <v>T</v>
      </c>
      <c r="CZ6" s="49" t="str">
        <f t="shared" si="6"/>
        <v>F</v>
      </c>
      <c r="DA6" s="49" t="str">
        <f t="shared" si="6"/>
        <v>S</v>
      </c>
      <c r="DB6" s="49" t="str">
        <f t="shared" si="6"/>
        <v>S</v>
      </c>
      <c r="DC6" s="49" t="str">
        <f t="shared" si="6"/>
        <v>M</v>
      </c>
      <c r="DD6" s="49" t="str">
        <f t="shared" si="6"/>
        <v>T</v>
      </c>
      <c r="DE6" s="49" t="str">
        <f t="shared" si="6"/>
        <v>W</v>
      </c>
      <c r="DF6" s="49" t="str">
        <f t="shared" si="6"/>
        <v>T</v>
      </c>
      <c r="DG6" s="49" t="str">
        <f t="shared" si="6"/>
        <v>F</v>
      </c>
      <c r="DH6" s="49" t="str">
        <f t="shared" si="6"/>
        <v>S</v>
      </c>
      <c r="DI6" s="49" t="str">
        <f t="shared" si="6"/>
        <v>S</v>
      </c>
      <c r="DJ6" s="49" t="str">
        <f t="shared" si="6"/>
        <v>M</v>
      </c>
      <c r="DK6" s="49" t="str">
        <f t="shared" si="6"/>
        <v>T</v>
      </c>
      <c r="DL6" s="49" t="str">
        <f t="shared" si="6"/>
        <v>W</v>
      </c>
      <c r="DM6" s="49" t="str">
        <f t="shared" si="6"/>
        <v>T</v>
      </c>
      <c r="DN6" s="49" t="str">
        <f t="shared" si="6"/>
        <v>F</v>
      </c>
      <c r="DO6" s="49" t="str">
        <f t="shared" si="6"/>
        <v>S</v>
      </c>
      <c r="DP6" s="49" t="str">
        <f t="shared" si="6"/>
        <v>S</v>
      </c>
      <c r="DQ6" s="49" t="str">
        <f t="shared" si="6"/>
        <v>M</v>
      </c>
      <c r="DR6" s="49" t="str">
        <f t="shared" si="6"/>
        <v>T</v>
      </c>
      <c r="DS6" s="49" t="str">
        <f t="shared" si="6"/>
        <v>W</v>
      </c>
      <c r="DT6" s="49" t="str">
        <f t="shared" si="6"/>
        <v>T</v>
      </c>
      <c r="DU6" s="49" t="str">
        <f t="shared" si="6"/>
        <v>F</v>
      </c>
      <c r="DV6" s="49" t="str">
        <f t="shared" si="6"/>
        <v>S</v>
      </c>
      <c r="DW6" s="49" t="str">
        <f t="shared" si="6"/>
        <v>S</v>
      </c>
      <c r="DX6" s="49" t="str">
        <f t="shared" si="6"/>
        <v>M</v>
      </c>
      <c r="DY6" s="49" t="str">
        <f t="shared" si="6"/>
        <v>T</v>
      </c>
      <c r="DZ6" s="49" t="str">
        <f t="shared" si="6"/>
        <v>W</v>
      </c>
      <c r="EA6" s="49" t="str">
        <f t="shared" si="6"/>
        <v>T</v>
      </c>
      <c r="EB6" s="49" t="str">
        <f t="shared" si="6"/>
        <v>F</v>
      </c>
      <c r="EC6" s="49" t="str">
        <f t="shared" si="6"/>
        <v>S</v>
      </c>
      <c r="ED6" s="49" t="str">
        <f t="shared" si="6"/>
        <v>S</v>
      </c>
    </row>
    <row r="7" spans="1:134" s="76" customFormat="1" ht="21.75" thickBot="1" x14ac:dyDescent="0.3">
      <c r="A7" s="68"/>
      <c r="B7" s="69"/>
      <c r="C7" s="70"/>
      <c r="D7" s="71"/>
      <c r="E7" s="72"/>
      <c r="F7" s="73"/>
      <c r="G7" s="74"/>
      <c r="H7" s="74" t="str">
        <f t="shared" ref="H7:H13" si="7">IF(OR(ISBLANK(task_start),ISBLANK(task_end)),"",task_end-task_start+1)</f>
        <v/>
      </c>
      <c r="I7" s="75"/>
      <c r="J7" s="75"/>
      <c r="K7" s="75"/>
      <c r="L7" s="75"/>
      <c r="M7" s="75"/>
      <c r="N7" s="75"/>
      <c r="O7" s="75"/>
      <c r="P7" s="75"/>
      <c r="Q7" s="75"/>
      <c r="R7" s="75"/>
      <c r="S7" s="75"/>
      <c r="T7" s="75"/>
      <c r="U7" s="75"/>
      <c r="V7" s="75"/>
      <c r="W7" s="75"/>
      <c r="X7" s="75"/>
      <c r="Y7" s="75"/>
      <c r="Z7" s="75"/>
      <c r="AA7" s="75"/>
      <c r="AB7" s="75"/>
      <c r="AC7" s="75"/>
      <c r="AD7" s="75"/>
      <c r="AE7" s="75"/>
      <c r="AF7" s="75"/>
      <c r="AG7" s="75"/>
      <c r="AH7" s="75"/>
      <c r="AI7" s="75"/>
      <c r="AJ7" s="75"/>
      <c r="AK7" s="75"/>
      <c r="AL7" s="75"/>
      <c r="AM7" s="75"/>
      <c r="AN7" s="75"/>
      <c r="AO7" s="75"/>
      <c r="AP7" s="75"/>
      <c r="AQ7" s="75"/>
      <c r="AR7" s="75"/>
      <c r="AS7" s="75"/>
      <c r="AT7" s="75"/>
      <c r="AU7" s="75"/>
      <c r="AV7" s="75"/>
      <c r="AW7" s="75"/>
      <c r="AX7" s="75"/>
      <c r="AY7" s="75"/>
      <c r="AZ7" s="75"/>
      <c r="BA7" s="75"/>
      <c r="BB7" s="75"/>
      <c r="BC7" s="75"/>
      <c r="BD7" s="75"/>
      <c r="BE7" s="75"/>
      <c r="BF7" s="75"/>
      <c r="BG7" s="75"/>
      <c r="BH7" s="75"/>
      <c r="BI7" s="75"/>
      <c r="BJ7" s="75"/>
      <c r="BK7" s="75"/>
      <c r="BL7" s="75"/>
      <c r="BM7" s="75"/>
      <c r="BN7" s="75"/>
      <c r="BO7" s="75"/>
      <c r="BP7" s="75"/>
      <c r="BQ7" s="75"/>
      <c r="BR7" s="75"/>
      <c r="BS7" s="75"/>
      <c r="BT7" s="75"/>
      <c r="BU7" s="75"/>
      <c r="BV7" s="75"/>
      <c r="BW7" s="75"/>
      <c r="BX7" s="75"/>
      <c r="BY7" s="75"/>
      <c r="BZ7" s="75"/>
      <c r="CA7" s="75"/>
      <c r="CB7" s="75"/>
      <c r="CC7" s="75"/>
      <c r="CD7" s="75"/>
      <c r="CE7" s="75"/>
      <c r="CF7" s="75"/>
      <c r="CG7" s="75"/>
      <c r="CH7" s="75"/>
      <c r="CI7" s="75"/>
      <c r="CJ7" s="75"/>
      <c r="CK7" s="75"/>
      <c r="CL7" s="75"/>
      <c r="CM7" s="75"/>
      <c r="CN7" s="75"/>
      <c r="CO7" s="75"/>
      <c r="CP7" s="75"/>
      <c r="CQ7" s="75"/>
      <c r="CR7" s="75"/>
      <c r="CS7" s="75"/>
      <c r="CT7" s="75"/>
      <c r="CU7" s="75"/>
      <c r="CV7" s="75"/>
      <c r="CW7" s="75"/>
      <c r="CX7" s="75"/>
      <c r="CY7" s="75"/>
      <c r="CZ7" s="75"/>
      <c r="DA7" s="75"/>
      <c r="DB7" s="75"/>
      <c r="DC7" s="75"/>
      <c r="DD7" s="75"/>
      <c r="DE7" s="75"/>
      <c r="DF7" s="75"/>
      <c r="DG7" s="75"/>
      <c r="DH7" s="75"/>
      <c r="DI7" s="75"/>
      <c r="DJ7" s="75"/>
      <c r="DK7" s="75"/>
      <c r="DL7" s="75"/>
      <c r="DM7" s="75"/>
      <c r="DN7" s="75"/>
      <c r="DO7" s="75"/>
      <c r="DP7" s="75"/>
      <c r="DQ7" s="75"/>
      <c r="DR7" s="75"/>
      <c r="DS7" s="75"/>
      <c r="DT7" s="75"/>
      <c r="DU7" s="75"/>
      <c r="DV7" s="75"/>
      <c r="DW7" s="75"/>
      <c r="DX7" s="75"/>
      <c r="DY7" s="75"/>
      <c r="DZ7" s="75"/>
      <c r="EA7" s="75"/>
      <c r="EB7" s="75"/>
      <c r="EC7" s="75"/>
      <c r="ED7" s="75"/>
    </row>
    <row r="8" spans="1:134" s="76" customFormat="1" ht="21.75" thickBot="1" x14ac:dyDescent="0.3">
      <c r="A8" s="68"/>
      <c r="B8" s="77" t="s">
        <v>55</v>
      </c>
      <c r="C8" s="78"/>
      <c r="D8" s="79"/>
      <c r="E8" s="80"/>
      <c r="F8" s="81"/>
      <c r="G8" s="74"/>
      <c r="H8" s="74" t="str">
        <f t="shared" si="7"/>
        <v/>
      </c>
      <c r="I8" s="75"/>
      <c r="J8" s="75"/>
      <c r="K8" s="75"/>
      <c r="L8" s="75"/>
      <c r="M8" s="75"/>
      <c r="N8" s="75"/>
      <c r="O8" s="75"/>
      <c r="P8" s="75"/>
      <c r="Q8" s="75"/>
      <c r="R8" s="75"/>
      <c r="S8" s="75"/>
      <c r="T8" s="75"/>
      <c r="U8" s="75"/>
      <c r="V8" s="75"/>
      <c r="W8" s="75"/>
      <c r="X8" s="75"/>
      <c r="Y8" s="75"/>
      <c r="Z8" s="75"/>
      <c r="AA8" s="75"/>
      <c r="AB8" s="75"/>
      <c r="AC8" s="75"/>
      <c r="AD8" s="75"/>
      <c r="AE8" s="75"/>
      <c r="AF8" s="75"/>
      <c r="AG8" s="75"/>
      <c r="AH8" s="75"/>
      <c r="AI8" s="75"/>
      <c r="AJ8" s="75"/>
      <c r="AK8" s="75"/>
      <c r="AL8" s="75"/>
      <c r="AM8" s="75"/>
      <c r="AN8" s="75"/>
      <c r="AO8" s="75"/>
      <c r="AP8" s="75"/>
      <c r="AQ8" s="75"/>
      <c r="AR8" s="75"/>
      <c r="AS8" s="75"/>
      <c r="AT8" s="75"/>
      <c r="AU8" s="75"/>
      <c r="AV8" s="75"/>
      <c r="AW8" s="75"/>
      <c r="AX8" s="75"/>
      <c r="AY8" s="75"/>
      <c r="AZ8" s="75"/>
      <c r="BA8" s="75"/>
      <c r="BB8" s="75"/>
      <c r="BC8" s="75"/>
      <c r="BD8" s="75"/>
      <c r="BE8" s="75"/>
      <c r="BF8" s="75"/>
      <c r="BG8" s="75"/>
      <c r="BH8" s="75"/>
      <c r="BI8" s="75"/>
      <c r="BJ8" s="75"/>
      <c r="BK8" s="75"/>
      <c r="BL8" s="75"/>
      <c r="BM8" s="75"/>
      <c r="BN8" s="75"/>
      <c r="BO8" s="75"/>
      <c r="BP8" s="75"/>
      <c r="BQ8" s="75"/>
      <c r="BR8" s="75"/>
      <c r="BS8" s="75"/>
      <c r="BT8" s="75"/>
      <c r="BU8" s="75"/>
      <c r="BV8" s="75"/>
      <c r="BW8" s="75"/>
      <c r="BX8" s="75"/>
      <c r="BY8" s="75"/>
      <c r="BZ8" s="75"/>
      <c r="CA8" s="75"/>
      <c r="CB8" s="75"/>
      <c r="CC8" s="75"/>
      <c r="CD8" s="75"/>
      <c r="CE8" s="75"/>
      <c r="CF8" s="75"/>
      <c r="CG8" s="75"/>
      <c r="CH8" s="75"/>
      <c r="CI8" s="75"/>
      <c r="CJ8" s="75"/>
      <c r="CK8" s="75"/>
      <c r="CL8" s="75"/>
      <c r="CM8" s="75"/>
      <c r="CN8" s="75"/>
      <c r="CO8" s="75"/>
      <c r="CP8" s="75"/>
      <c r="CQ8" s="75"/>
      <c r="CR8" s="75"/>
      <c r="CS8" s="75"/>
      <c r="CT8" s="75"/>
      <c r="CU8" s="75"/>
      <c r="CV8" s="75"/>
      <c r="CW8" s="75"/>
      <c r="CX8" s="75"/>
      <c r="CY8" s="75"/>
      <c r="CZ8" s="75"/>
      <c r="DA8" s="75"/>
      <c r="DB8" s="75"/>
      <c r="DC8" s="75"/>
      <c r="DD8" s="75"/>
      <c r="DE8" s="75"/>
      <c r="DF8" s="75"/>
      <c r="DG8" s="75"/>
      <c r="DH8" s="75"/>
      <c r="DI8" s="75"/>
      <c r="DJ8" s="75"/>
      <c r="DK8" s="75"/>
      <c r="DL8" s="75"/>
      <c r="DM8" s="75"/>
      <c r="DN8" s="75"/>
      <c r="DO8" s="75"/>
      <c r="DP8" s="75"/>
      <c r="DQ8" s="75"/>
      <c r="DR8" s="75"/>
      <c r="DS8" s="75"/>
      <c r="DT8" s="75"/>
      <c r="DU8" s="75"/>
      <c r="DV8" s="75"/>
      <c r="DW8" s="75"/>
      <c r="DX8" s="75"/>
      <c r="DY8" s="75"/>
      <c r="DZ8" s="75"/>
      <c r="EA8" s="75"/>
      <c r="EB8" s="75"/>
      <c r="EC8" s="75"/>
      <c r="ED8" s="75"/>
    </row>
    <row r="9" spans="1:134" s="76" customFormat="1" ht="21.75" thickBot="1" x14ac:dyDescent="0.3">
      <c r="A9" s="68"/>
      <c r="B9" s="82" t="s">
        <v>56</v>
      </c>
      <c r="C9" s="83"/>
      <c r="D9" s="84">
        <v>0</v>
      </c>
      <c r="E9" s="85">
        <v>45313</v>
      </c>
      <c r="F9" s="86">
        <v>45313</v>
      </c>
      <c r="G9" s="74"/>
      <c r="H9" s="74">
        <f t="shared" si="7"/>
        <v>1</v>
      </c>
      <c r="I9" s="75"/>
      <c r="J9" s="75"/>
      <c r="K9" s="75"/>
      <c r="L9" s="75"/>
      <c r="M9" s="75"/>
      <c r="N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row>
    <row r="10" spans="1:134" s="76" customFormat="1" ht="21.75" thickBot="1" x14ac:dyDescent="0.3">
      <c r="A10" s="68"/>
      <c r="B10" s="69"/>
      <c r="C10" s="70"/>
      <c r="D10" s="71"/>
      <c r="E10" s="72"/>
      <c r="F10" s="73"/>
      <c r="G10" s="74"/>
      <c r="H10" s="74" t="str">
        <f t="shared" si="7"/>
        <v/>
      </c>
      <c r="I10" s="75"/>
      <c r="J10" s="75"/>
      <c r="K10" s="75"/>
      <c r="L10" s="75"/>
      <c r="M10" s="75"/>
      <c r="N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row>
    <row r="11" spans="1:134" s="76" customFormat="1" ht="21.75" thickBot="1" x14ac:dyDescent="0.3">
      <c r="A11" s="68"/>
      <c r="B11" s="69"/>
      <c r="C11" s="70"/>
      <c r="D11" s="71"/>
      <c r="E11" s="72"/>
      <c r="F11" s="73"/>
      <c r="G11" s="74"/>
      <c r="H11" s="74" t="str">
        <f t="shared" si="7"/>
        <v/>
      </c>
      <c r="I11" s="75"/>
      <c r="J11" s="75"/>
      <c r="K11" s="75"/>
      <c r="L11" s="75"/>
      <c r="M11" s="75"/>
      <c r="N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row>
    <row r="12" spans="1:134" s="76" customFormat="1" ht="21.75" thickBot="1" x14ac:dyDescent="0.3">
      <c r="A12" s="68"/>
      <c r="B12" s="69"/>
      <c r="C12" s="70"/>
      <c r="D12" s="71"/>
      <c r="E12" s="72"/>
      <c r="F12" s="73"/>
      <c r="G12" s="74"/>
      <c r="H12" s="74" t="str">
        <f t="shared" si="7"/>
        <v/>
      </c>
      <c r="I12" s="75"/>
      <c r="J12" s="75"/>
      <c r="K12" s="75"/>
      <c r="L12" s="75"/>
      <c r="M12" s="75"/>
      <c r="N12" s="75"/>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row>
    <row r="13" spans="1:134" s="50" customFormat="1" ht="21.75" thickBot="1" x14ac:dyDescent="0.3">
      <c r="A13" s="46"/>
      <c r="B13" s="51" t="s">
        <v>38</v>
      </c>
      <c r="C13" s="52"/>
      <c r="D13" s="53"/>
      <c r="E13" s="54"/>
      <c r="F13" s="55"/>
      <c r="G13" s="56"/>
      <c r="H13" s="56" t="str">
        <f t="shared" si="7"/>
        <v/>
      </c>
      <c r="I13" s="57"/>
      <c r="J13" s="57"/>
      <c r="K13" s="57"/>
      <c r="L13" s="57"/>
      <c r="M13" s="57"/>
      <c r="N13" s="57"/>
      <c r="O13" s="57"/>
      <c r="P13" s="57"/>
      <c r="Q13" s="57"/>
      <c r="R13" s="57"/>
      <c r="S13" s="57"/>
      <c r="T13" s="57"/>
      <c r="U13" s="57"/>
      <c r="V13" s="57"/>
      <c r="W13" s="57"/>
      <c r="X13" s="57"/>
      <c r="Y13" s="57"/>
      <c r="Z13" s="57"/>
      <c r="AA13" s="57"/>
      <c r="AB13" s="57"/>
      <c r="AC13" s="57"/>
      <c r="AD13" s="57"/>
      <c r="AE13" s="57"/>
      <c r="AF13" s="57"/>
      <c r="AG13" s="57"/>
      <c r="AH13" s="57"/>
      <c r="AI13" s="57"/>
      <c r="AJ13" s="57"/>
      <c r="AK13" s="57"/>
      <c r="AL13" s="57"/>
      <c r="AM13" s="57"/>
      <c r="AN13" s="57"/>
      <c r="AO13" s="57"/>
      <c r="AP13" s="57"/>
      <c r="AQ13" s="57"/>
      <c r="AR13" s="57"/>
      <c r="AS13" s="57"/>
      <c r="AT13" s="57"/>
      <c r="AU13" s="57"/>
      <c r="AV13" s="57"/>
      <c r="AW13" s="57"/>
      <c r="AX13" s="57"/>
      <c r="AY13" s="57"/>
      <c r="AZ13" s="57"/>
      <c r="BA13" s="57"/>
      <c r="BB13" s="57"/>
      <c r="BC13" s="57"/>
      <c r="BD13" s="57"/>
      <c r="BE13" s="57"/>
      <c r="BF13" s="57"/>
      <c r="BG13" s="57"/>
      <c r="BH13" s="57"/>
      <c r="BI13" s="57"/>
      <c r="BJ13" s="57"/>
      <c r="BK13" s="57"/>
      <c r="BL13" s="57"/>
      <c r="BM13" s="57"/>
      <c r="BN13" s="57"/>
      <c r="BO13" s="57"/>
      <c r="BP13" s="57"/>
      <c r="BQ13" s="57"/>
      <c r="BR13" s="57"/>
      <c r="BS13" s="57"/>
      <c r="BT13" s="57"/>
      <c r="BU13" s="57"/>
      <c r="BV13" s="57"/>
      <c r="BW13" s="57"/>
      <c r="BX13" s="57"/>
      <c r="BY13" s="57"/>
      <c r="BZ13" s="57"/>
      <c r="CA13" s="57"/>
      <c r="CB13" s="57"/>
      <c r="CC13" s="57"/>
      <c r="CD13" s="57"/>
      <c r="CE13" s="57"/>
      <c r="CF13" s="57"/>
      <c r="CG13" s="57"/>
      <c r="CH13" s="57"/>
      <c r="CI13" s="57"/>
      <c r="CJ13" s="57"/>
      <c r="CK13" s="57"/>
      <c r="CL13" s="57"/>
      <c r="CM13" s="57"/>
      <c r="CN13" s="57"/>
      <c r="CO13" s="57"/>
      <c r="CP13" s="57"/>
      <c r="CQ13" s="57"/>
      <c r="CR13" s="57"/>
      <c r="CS13" s="57"/>
      <c r="CT13" s="57"/>
      <c r="CU13" s="57"/>
      <c r="CV13" s="57"/>
      <c r="CW13" s="57"/>
      <c r="CX13" s="57"/>
      <c r="CY13" s="57"/>
      <c r="CZ13" s="57"/>
      <c r="DA13" s="57"/>
      <c r="DB13" s="57"/>
      <c r="DC13" s="57"/>
      <c r="DD13" s="57"/>
      <c r="DE13" s="57"/>
      <c r="DF13" s="57"/>
      <c r="DG13" s="57"/>
      <c r="DH13" s="57"/>
      <c r="DI13" s="57"/>
      <c r="DJ13" s="57"/>
      <c r="DK13" s="57"/>
      <c r="DL13" s="57"/>
      <c r="DM13" s="57"/>
      <c r="DN13" s="57"/>
      <c r="DO13" s="57"/>
      <c r="DP13" s="57"/>
      <c r="DQ13" s="57"/>
      <c r="DR13" s="57"/>
      <c r="DS13" s="57"/>
      <c r="DT13" s="57"/>
      <c r="DU13" s="57"/>
      <c r="DV13" s="57"/>
      <c r="DW13" s="57"/>
      <c r="DX13" s="57"/>
      <c r="DY13" s="57"/>
      <c r="DZ13" s="57"/>
      <c r="EA13" s="57"/>
      <c r="EB13" s="57"/>
      <c r="EC13" s="57"/>
      <c r="ED13" s="57"/>
    </row>
    <row r="14" spans="1:134" x14ac:dyDescent="0.25">
      <c r="A14" s="34"/>
      <c r="G14" s="34"/>
    </row>
    <row r="15" spans="1:134" x14ac:dyDescent="0.25">
      <c r="B15" s="58"/>
      <c r="C15" s="58"/>
      <c r="F15" s="59"/>
    </row>
    <row r="16" spans="1:134" x14ac:dyDescent="0.25">
      <c r="B16" s="14"/>
      <c r="C16" s="2"/>
    </row>
    <row r="17" spans="2:2" x14ac:dyDescent="0.25">
      <c r="B17" s="60"/>
    </row>
  </sheetData>
  <sheetProtection sheet="1" scenarios="1" formatCells="0" formatColumns="0" formatRows="0" insertRows="0" deleteRows="0"/>
  <mergeCells count="21">
    <mergeCell ref="E2:F2"/>
    <mergeCell ref="E3:F3"/>
    <mergeCell ref="I4:O4"/>
    <mergeCell ref="P4:V4"/>
    <mergeCell ref="W4:AC4"/>
    <mergeCell ref="I1:N1"/>
    <mergeCell ref="DJ4:DP4"/>
    <mergeCell ref="DQ4:DW4"/>
    <mergeCell ref="DX4:ED4"/>
    <mergeCell ref="BT4:BZ4"/>
    <mergeCell ref="CA4:CG4"/>
    <mergeCell ref="CH4:CN4"/>
    <mergeCell ref="CO4:CU4"/>
    <mergeCell ref="CV4:DB4"/>
    <mergeCell ref="DC4:DI4"/>
    <mergeCell ref="BM4:BS4"/>
    <mergeCell ref="AD4:AJ4"/>
    <mergeCell ref="AK4:AQ4"/>
    <mergeCell ref="AR4:AX4"/>
    <mergeCell ref="AY4:BE4"/>
    <mergeCell ref="BF4:BL4"/>
  </mergeCells>
  <conditionalFormatting sqref="D7:D13">
    <cfRule type="dataBar" priority="4">
      <dataBar>
        <cfvo type="num" val="0"/>
        <cfvo type="num" val="1"/>
        <color theme="0" tint="-0.249977111117893"/>
      </dataBar>
      <extLst>
        <ext xmlns:x14="http://schemas.microsoft.com/office/spreadsheetml/2009/9/main" uri="{B025F937-C7B1-47D3-B67F-A62EFF666E3E}">
          <x14:id>{2B8DD2A7-7F0D-4D7A-800F-264A62699E3E}</x14:id>
        </ext>
      </extLst>
    </cfRule>
  </conditionalFormatting>
  <conditionalFormatting sqref="I5:ED13">
    <cfRule type="expression" dxfId="2" priority="3">
      <formula>AND(today&gt;=I$5,today&lt;I$5+1)</formula>
    </cfRule>
  </conditionalFormatting>
  <conditionalFormatting sqref="I7:ED13">
    <cfRule type="expression" dxfId="1" priority="1">
      <formula>AND(task_start&lt;=I$5,ROUNDDOWN((task_end-task_start+1)*task_progress,0)+task_start-1&gt;=I$5)</formula>
    </cfRule>
    <cfRule type="expression" dxfId="0" priority="2" stopIfTrue="1">
      <formula>AND(task_end&gt;=I$5,task_start&lt;I$5+1)</formula>
    </cfRule>
  </conditionalFormatting>
  <dataValidations count="2">
    <dataValidation type="whole" operator="greaterThanOrEqual" allowBlank="1" showInputMessage="1" promptTitle="Display Week" prompt="Changing this number will scroll the Gantt Chart view." sqref="E4" xr:uid="{4E9029D4-CD9F-4ECE-A3C5-29F5A30290A8}">
      <formula1>1</formula1>
    </dataValidation>
    <dataValidation type="date" allowBlank="1" showInputMessage="1" showErrorMessage="1" errorTitle="Not a date" error="Enter a date like 2026-11-02." promptTitle="Date" prompt="Type a date like 2026-11-02." sqref="E7:F13" xr:uid="{9951D622-B7BA-4359-A6CC-D44548C2F865}">
      <formula1>36526</formula1>
      <formula2>73050</formula2>
    </dataValidation>
  </dataValidations>
  <pageMargins left="0.35" right="0.35" top="0.35" bottom="0.5" header="0.3" footer="0.3"/>
  <pageSetup scale="62" fitToHeight="0" orientation="landscape" r:id="rId1"/>
  <headerFooter scaleWithDoc="0"/>
  <drawing r:id="rId2"/>
  <legacyDrawing r:id="rId3"/>
  <mc:AlternateContent xmlns:mc="http://schemas.openxmlformats.org/markup-compatibility/2006">
    <mc:Choice Requires="x14">
      <controls>
        <mc:AlternateContent xmlns:mc="http://schemas.openxmlformats.org/markup-compatibility/2006">
          <mc:Choice Requires="x14">
            <control shapeId="8194" r:id="rId4" name="btnAddSection">
              <controlPr defaultSize="0" print="0" autoFill="0" autoPict="0" macro="AddSection">
                <anchor>
                  <from>
                    <xdr:col>14</xdr:col>
                    <xdr:colOff>152400</xdr:colOff>
                    <xdr:row>0</xdr:row>
                    <xdr:rowOff>38100</xdr:rowOff>
                  </from>
                  <to>
                    <xdr:col>23</xdr:col>
                    <xdr:colOff>47625</xdr:colOff>
                    <xdr:row>0</xdr:row>
                    <xdr:rowOff>323850</xdr:rowOff>
                  </to>
                </anchor>
              </controlPr>
            </control>
          </mc:Choice>
        </mc:AlternateContent>
        <mc:AlternateContent xmlns:mc="http://schemas.openxmlformats.org/markup-compatibility/2006">
          <mc:Choice Requires="x14">
            <control shapeId="8195" r:id="rId5" name="btnAddTask">
              <controlPr defaultSize="0" print="0" autoFill="0" autoPict="0" macro="AddTask">
                <anchor>
                  <from>
                    <xdr:col>23</xdr:col>
                    <xdr:colOff>152400</xdr:colOff>
                    <xdr:row>0</xdr:row>
                    <xdr:rowOff>38100</xdr:rowOff>
                  </from>
                  <to>
                    <xdr:col>32</xdr:col>
                    <xdr:colOff>47625</xdr:colOff>
                    <xdr:row>0</xdr:row>
                    <xdr:rowOff>323850</xdr:rowOff>
                  </to>
                </anchor>
              </controlPr>
            </control>
          </mc:Choice>
        </mc:AlternateContent>
        <mc:AlternateContent xmlns:mc="http://schemas.openxmlformats.org/markup-compatibility/2006">
          <mc:Choice Requires="x14">
            <control shapeId="8196" r:id="rId6" name="btnDeleteRows">
              <controlPr defaultSize="0" print="0" autoFill="0" autoPict="0" macro="DeleteRows">
                <anchor>
                  <from>
                    <xdr:col>32</xdr:col>
                    <xdr:colOff>152400</xdr:colOff>
                    <xdr:row>0</xdr:row>
                    <xdr:rowOff>38100</xdr:rowOff>
                  </from>
                  <to>
                    <xdr:col>41</xdr:col>
                    <xdr:colOff>47625</xdr:colOff>
                    <xdr:row>0</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B8DD2A7-7F0D-4D7A-800F-264A62699E3E}">
            <x14:dataBar minLength="0" maxLength="100" gradient="0">
              <x14:cfvo type="num">
                <xm:f>0</xm:f>
              </x14:cfvo>
              <x14:cfvo type="num">
                <xm:f>1</xm:f>
              </x14:cfvo>
              <x14:negativeFillColor rgb="FFFF0000"/>
              <x14:axisColor rgb="FF000000"/>
            </x14:dataBar>
          </x14:cfRule>
          <xm:sqref>D7:D13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B1:C22"/>
  <sheetViews>
    <sheetView showGridLines="0" zoomScaleNormal="100" workbookViewId="0"/>
  </sheetViews>
  <sheetFormatPr defaultColWidth="9.140625" defaultRowHeight="12.75" x14ac:dyDescent="0.2"/>
  <cols>
    <col min="1" max="1" width="2.85546875" style="1" customWidth="1"/>
    <col min="2" max="2" width="87.140625" style="3" customWidth="1"/>
    <col min="3" max="16384" width="9.140625" style="1"/>
  </cols>
  <sheetData>
    <row r="1" spans="2:3" ht="46.5" customHeight="1" x14ac:dyDescent="0.2"/>
    <row r="2" spans="2:3" s="5" customFormat="1" ht="15.75" x14ac:dyDescent="0.25">
      <c r="B2" s="4" t="s">
        <v>39</v>
      </c>
      <c r="C2" s="4"/>
    </row>
    <row r="3" spans="2:3" s="7" customFormat="1" ht="13.5" customHeight="1" x14ac:dyDescent="0.25">
      <c r="B3" s="6" t="s">
        <v>40</v>
      </c>
      <c r="C3" s="6"/>
    </row>
    <row r="4" spans="2:3" x14ac:dyDescent="0.2">
      <c r="B4" s="13" t="s">
        <v>41</v>
      </c>
    </row>
    <row r="6" spans="2:3" s="8" customFormat="1" ht="26.25" x14ac:dyDescent="0.4">
      <c r="B6" s="10" t="s">
        <v>42</v>
      </c>
    </row>
    <row r="7" spans="2:3" ht="60" x14ac:dyDescent="0.2">
      <c r="B7" s="11" t="s">
        <v>43</v>
      </c>
    </row>
    <row r="8" spans="2:3" ht="15" x14ac:dyDescent="0.2">
      <c r="B8" s="9"/>
    </row>
    <row r="9" spans="2:3" s="8" customFormat="1" ht="26.25" x14ac:dyDescent="0.4">
      <c r="B9" s="10" t="s">
        <v>44</v>
      </c>
    </row>
    <row r="10" spans="2:3" ht="60" x14ac:dyDescent="0.2">
      <c r="B10" s="11" t="s">
        <v>45</v>
      </c>
    </row>
    <row r="11" spans="2:3" ht="14.25" x14ac:dyDescent="0.2">
      <c r="B11" s="12" t="s">
        <v>46</v>
      </c>
    </row>
    <row r="12" spans="2:3" ht="15" x14ac:dyDescent="0.2">
      <c r="B12" s="9"/>
    </row>
    <row r="13" spans="2:3" ht="14.25" x14ac:dyDescent="0.2">
      <c r="B13" s="15" t="str">
        <f>HYPERLINK("https://vertex42.link/HowToMakeAGanttChart","► Watch How This Gantt Chart Was Created")</f>
        <v>► Watch How This Gantt Chart Was Created</v>
      </c>
    </row>
    <row r="14" spans="2:3" ht="15" x14ac:dyDescent="0.2">
      <c r="B14" s="9"/>
    </row>
    <row r="15" spans="2:3" s="8" customFormat="1" ht="26.25" x14ac:dyDescent="0.4">
      <c r="B15" s="10" t="s">
        <v>47</v>
      </c>
    </row>
    <row r="16" spans="2:3" ht="30" x14ac:dyDescent="0.2">
      <c r="B16" s="11" t="s">
        <v>48</v>
      </c>
    </row>
    <row r="17" spans="2:2" ht="14.25" x14ac:dyDescent="0.2">
      <c r="B17" s="12" t="s">
        <v>49</v>
      </c>
    </row>
    <row r="18" spans="2:2" ht="15" x14ac:dyDescent="0.2">
      <c r="B18" s="9"/>
    </row>
    <row r="19" spans="2:2" s="8" customFormat="1" ht="26.25" x14ac:dyDescent="0.4">
      <c r="B19" s="10" t="s">
        <v>50</v>
      </c>
    </row>
    <row r="20" spans="2:2" ht="60" x14ac:dyDescent="0.2">
      <c r="B20" s="11" t="s">
        <v>51</v>
      </c>
    </row>
    <row r="21" spans="2:2" ht="15" x14ac:dyDescent="0.2">
      <c r="B21" s="9"/>
    </row>
    <row r="22" spans="2:2" ht="75" x14ac:dyDescent="0.2">
      <c r="B22" s="11" t="s">
        <v>52</v>
      </c>
    </row>
  </sheetData>
  <hyperlinks>
    <hyperlink ref="B17" r:id="rId1" xr:uid="{00000000-0004-0000-0100-000000000000}"/>
    <hyperlink ref="B11" r:id="rId2" xr:uid="{00000000-0004-0000-0100-000001000000}"/>
    <hyperlink ref="B3" r:id="rId3" xr:uid="{00000000-0004-0000-0100-000002000000}"/>
    <hyperlink ref="B2" r:id="rId4" xr:uid="{00000000-0004-0000-0100-000003000000}"/>
  </hyperlinks>
  <pageMargins left="0.5" right="0.5" top="0.5" bottom="0.5" header="0.3" footer="0.3"/>
  <pageSetup orientation="portrait" r:id="rId5"/>
  <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511F958EFF73B4E920C8082752A490B" ma:contentTypeVersion="6" ma:contentTypeDescription="Create a new document." ma:contentTypeScope="" ma:versionID="85aa576cf9c17ca2e0f1a30e6e67bbb3">
  <xsd:schema xmlns:xsd="http://www.w3.org/2001/XMLSchema" xmlns:xs="http://www.w3.org/2001/XMLSchema" xmlns:p="http://schemas.microsoft.com/office/2006/metadata/properties" xmlns:ns2="b81456b5-7c0f-4d1c-b385-3efbfc765b90" xmlns:ns3="de686bc5-c6fe-44eb-97ca-94c2bc412ba8" targetNamespace="http://schemas.microsoft.com/office/2006/metadata/properties" ma:root="true" ma:fieldsID="bf1bc94718bc413db49a4eb80dc07342" ns2:_="" ns3:_="">
    <xsd:import namespace="b81456b5-7c0f-4d1c-b385-3efbfc765b90"/>
    <xsd:import namespace="de686bc5-c6fe-44eb-97ca-94c2bc412ba8"/>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81456b5-7c0f-4d1c-b385-3efbfc765b90"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e686bc5-c6fe-44eb-97ca-94c2bc412ba8"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1456b5-7c0f-4d1c-b385-3efbfc765b90">
      <UserInfo>
        <DisplayName>Leonard Dea</DisplayName>
        <AccountId>12</AccountId>
        <AccountType/>
      </UserInfo>
      <UserInfo>
        <DisplayName>George Chapman</DisplayName>
        <AccountId>17</AccountId>
        <AccountType/>
      </UserInfo>
      <UserInfo>
        <DisplayName>Ryan King</DisplayName>
        <AccountId>18</AccountId>
        <AccountType/>
      </UserInfo>
    </SharedWithUsers>
  </documentManagement>
</p:properties>
</file>

<file path=customXml/itemProps1.xml><?xml version="1.0" encoding="utf-8"?>
<ds:datastoreItem xmlns:ds="http://schemas.openxmlformats.org/officeDocument/2006/customXml" ds:itemID="{D4170952-B01F-4A24-B2EB-671EC546F8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81456b5-7c0f-4d1c-b385-3efbfc765b90"/>
    <ds:schemaRef ds:uri="de686bc5-c6fe-44eb-97ca-94c2bc412b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D40D7B-7E95-4EAA-BA51-0240CAC0F886}">
  <ds:schemaRefs>
    <ds:schemaRef ds:uri="http://schemas.microsoft.com/sharepoint/v3/contenttype/forms"/>
  </ds:schemaRefs>
</ds:datastoreItem>
</file>

<file path=customXml/itemProps3.xml><?xml version="1.0" encoding="utf-8"?>
<ds:datastoreItem xmlns:ds="http://schemas.openxmlformats.org/officeDocument/2006/customXml" ds:itemID="{2EA276C7-047D-4802-84F6-FE7D4CFC4CEE}">
  <ds:schemaRefs>
    <ds:schemaRef ds:uri="http://schemas.microsoft.com/office/2006/metadata/properties"/>
    <ds:schemaRef ds:uri="http://schemas.microsoft.com/office/infopath/2007/PartnerControls"/>
    <ds:schemaRef ds:uri="b81456b5-7c0f-4d1c-b385-3efbfc765b9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vt:i4>
      </vt:variant>
    </vt:vector>
  </HeadingPairs>
  <TitlesOfParts>
    <vt:vector size="17" baseType="lpstr">
      <vt:lpstr>Projects</vt:lpstr>
      <vt:lpstr>Instructions</vt:lpstr>
      <vt:lpstr>Atlantic Packaging</vt:lpstr>
      <vt:lpstr>Template</vt:lpstr>
      <vt:lpstr>About</vt:lpstr>
      <vt:lpstr>'Atlantic Packaging'!Print_Area</vt:lpstr>
      <vt:lpstr>Template!Print_Area</vt:lpstr>
      <vt:lpstr>'Atlantic Packaging'!Print_Titles</vt:lpstr>
      <vt:lpstr>Template!Print_Titles</vt:lpstr>
      <vt:lpstr>'Atlantic Packaging'!task_end</vt:lpstr>
      <vt:lpstr>Template!task_end</vt:lpstr>
      <vt:lpstr>'Atlantic Packaging'!task_progress</vt:lpstr>
      <vt:lpstr>Template!task_progress</vt:lpstr>
      <vt:lpstr>'Atlantic Packaging'!task_start</vt:lpstr>
      <vt:lpstr>Template!task_start</vt:lpstr>
      <vt:lpstr>'Atlantic Packaging'!today</vt:lpstr>
      <vt:lpstr>Template!today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Simple Gantt Chart</dc:title>
  <dc:subject/>
  <dc:creator>Vertex42.com</dc:creator>
  <cp:keywords/>
  <dc:description>© 2018-2019 Vertex42 LLC. All Rights Reserved.</dc:description>
  <cp:lastModifiedBy>Hayden Barker</cp:lastModifiedBy>
  <cp:revision/>
  <dcterms:created xsi:type="dcterms:W3CDTF">2017-01-09T18:01:51Z</dcterms:created>
  <dcterms:modified xsi:type="dcterms:W3CDTF">2026-10-22T16:11:51Z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ource">
    <vt:lpwstr>https://www.vertex42.com/</vt:lpwstr>
  </property>
  <property fmtid="{D5CDD505-2E9C-101B-9397-08002B2CF9AE}" pid="3" name="Copyright">
    <vt:lpwstr>© 2019 Vertex42 LLC</vt:lpwstr>
  </property>
  <property fmtid="{D5CDD505-2E9C-101B-9397-08002B2CF9AE}" pid="4" name="Version">
    <vt:lpwstr>1.0.1</vt:lpwstr>
  </property>
  <property fmtid="{D5CDD505-2E9C-101B-9397-08002B2CF9AE}" pid="5" name="ContentTypeId">
    <vt:lpwstr>0x0101001511F958EFF73B4E920C8082752A490B</vt:lpwstr>
  </property>
</Properties>
</file>