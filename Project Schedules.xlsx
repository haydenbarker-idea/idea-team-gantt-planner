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Dev\gantt-chart-varennes\"/>
    </mc:Choice>
  </mc:AlternateContent>
  <xr:revisionPtr revIDLastSave="0" documentId="13_ncr:1_{68C66CEF-C2A5-4DB9-AF6C-82293D00931B}" xr6:coauthVersionLast="47" xr6:coauthVersionMax="47" xr10:uidLastSave="{00000000-0000-0000-0000-000000000000}"/>
  <bookViews>
    <workbookView xWindow="6240" yWindow="6240" windowWidth="32400" windowHeight="19395" xr2:uid="{00000000-000D-0000-FFFF-FFFF00000000}"/>
  </bookViews>
  <sheets>
    <sheet name="Projects" sheetId="14" r:id="rId1"/>
    <sheet name="Instructions" sheetId="15" r:id="rId2"/>
    <sheet name="Atlantic Packaging" sheetId="11" r:id="rId3"/>
    <sheet name="Template" sheetId="13" state="hidden" r:id="rId4"/>
    <sheet name="About" sheetId="12" state="hidden" r:id="rId5"/>
  </sheets>
  <definedNames>
    <definedName name="_xlnm.Print_Area" localSheetId="2">'Atlantic Packaging'!$1:$42</definedName>
    <definedName name="_xlnm.Print_Area" localSheetId="3">Template!$1:$13</definedName>
    <definedName name="_xlnm.Print_Titles" localSheetId="2">'Atlantic Packaging'!$4:$6</definedName>
    <definedName name="_xlnm.Print_Titles" localSheetId="3">Template!$4:$6</definedName>
    <definedName name="task_end" localSheetId="2">'Atlantic Packaging'!$F1</definedName>
    <definedName name="task_end" localSheetId="3">Template!$F1</definedName>
    <definedName name="task_progress" localSheetId="2">'Atlantic Packaging'!$D1</definedName>
    <definedName name="task_progress" localSheetId="3">Template!$D1</definedName>
    <definedName name="task_start" localSheetId="2">'Atlantic Packaging'!$E1</definedName>
    <definedName name="task_start" localSheetId="3">Template!$E1</definedName>
    <definedName name="today" localSheetId="2">'Atlantic Packaging'!$E$3</definedName>
    <definedName name="today" localSheetId="3">Template!$E$3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5" l="1"/>
  <c r="I1" i="13"/>
  <c r="I1" i="11"/>
  <c r="B3" i="14"/>
  <c r="H6" i="14"/>
  <c r="G6" i="14"/>
  <c r="F6" i="14"/>
  <c r="E6" i="14"/>
  <c r="D6" i="14"/>
  <c r="B6" i="14"/>
  <c r="H13" i="13"/>
  <c r="H12" i="13"/>
  <c r="H11" i="13"/>
  <c r="H10" i="13"/>
  <c r="H9" i="13"/>
  <c r="H8" i="13"/>
  <c r="H7" i="13"/>
  <c r="I5" i="13"/>
  <c r="I4" i="13"/>
  <c r="E3" i="13"/>
  <c r="B13" i="12"/>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I5" i="11"/>
  <c r="E3" i="11"/>
  <c r="I6" i="13" l="1"/>
  <c r="J5" i="13"/>
  <c r="I6" i="11"/>
  <c r="I4" i="11"/>
  <c r="J5" i="11"/>
  <c r="K5" i="13" l="1"/>
  <c r="J6" i="13"/>
  <c r="K5" i="11"/>
  <c r="J6" i="11"/>
  <c r="L5" i="13" l="1"/>
  <c r="K6" i="13"/>
  <c r="L5" i="11"/>
  <c r="K6" i="11"/>
  <c r="M5" i="13" l="1"/>
  <c r="L6" i="13"/>
  <c r="M5" i="11"/>
  <c r="L6" i="11"/>
  <c r="N5" i="13" l="1"/>
  <c r="M6" i="13"/>
  <c r="N5" i="11"/>
  <c r="M6" i="11"/>
  <c r="O5" i="13" l="1"/>
  <c r="N6" i="13"/>
  <c r="O5" i="11"/>
  <c r="N6" i="11"/>
  <c r="P5" i="13" l="1"/>
  <c r="O6" i="13"/>
  <c r="P5" i="11"/>
  <c r="O6" i="11"/>
  <c r="Q5" i="13" l="1"/>
  <c r="P6" i="13"/>
  <c r="P4" i="13"/>
  <c r="Q5" i="11"/>
  <c r="P6" i="11"/>
  <c r="P4" i="11"/>
  <c r="R5" i="13" l="1"/>
  <c r="Q6" i="13"/>
  <c r="R5" i="11"/>
  <c r="Q6" i="11"/>
  <c r="S5" i="13" l="1"/>
  <c r="R6" i="13"/>
  <c r="S5" i="11"/>
  <c r="R6" i="11"/>
  <c r="T5" i="13" l="1"/>
  <c r="S6" i="13"/>
  <c r="T5" i="11"/>
  <c r="S6" i="11"/>
  <c r="U5" i="13" l="1"/>
  <c r="T6" i="13"/>
  <c r="U5" i="11"/>
  <c r="T6" i="11"/>
  <c r="V5" i="13" l="1"/>
  <c r="U6" i="13"/>
  <c r="V5" i="11"/>
  <c r="U6" i="11"/>
  <c r="W5" i="13" l="1"/>
  <c r="V6" i="13"/>
  <c r="W5" i="11"/>
  <c r="V6" i="11"/>
  <c r="X5" i="13" l="1"/>
  <c r="W6" i="13"/>
  <c r="W4" i="13"/>
  <c r="X5" i="11"/>
  <c r="W4" i="11"/>
  <c r="W6" i="11"/>
  <c r="Y5" i="13" l="1"/>
  <c r="X6" i="13"/>
  <c r="Y5" i="11"/>
  <c r="X6" i="11"/>
  <c r="Z5" i="13" l="1"/>
  <c r="Y6" i="13"/>
  <c r="Z5" i="11"/>
  <c r="Y6" i="11"/>
  <c r="AA5" i="13" l="1"/>
  <c r="Z6" i="13"/>
  <c r="AA5" i="11"/>
  <c r="Z6" i="11"/>
  <c r="AB5" i="13" l="1"/>
  <c r="AA6" i="13"/>
  <c r="AB5" i="11"/>
  <c r="AA6" i="11"/>
  <c r="AC5" i="13" l="1"/>
  <c r="AB6" i="13"/>
  <c r="AC5" i="11"/>
  <c r="AB6" i="11"/>
  <c r="AD5" i="13" l="1"/>
  <c r="AC6" i="13"/>
  <c r="AD5" i="11"/>
  <c r="AC6" i="11"/>
  <c r="AE5" i="13" l="1"/>
  <c r="AD6" i="13"/>
  <c r="AD4" i="13"/>
  <c r="AE5" i="11"/>
  <c r="AD4" i="11"/>
  <c r="AD6" i="11"/>
  <c r="AF5" i="13" l="1"/>
  <c r="AE6" i="13"/>
  <c r="AF5" i="11"/>
  <c r="AE6" i="11"/>
  <c r="AG5" i="13" l="1"/>
  <c r="AF6" i="13"/>
  <c r="AG5" i="11"/>
  <c r="AF6" i="11"/>
  <c r="AH5" i="13" l="1"/>
  <c r="AG6" i="13"/>
  <c r="AH5" i="11"/>
  <c r="AG6" i="11"/>
  <c r="AI5" i="13" l="1"/>
  <c r="AH6" i="13"/>
  <c r="AI5" i="11"/>
  <c r="AH6" i="11"/>
  <c r="AJ5" i="13" l="1"/>
  <c r="AI6" i="13"/>
  <c r="AJ5" i="11"/>
  <c r="AI6" i="11"/>
  <c r="AK5" i="13" l="1"/>
  <c r="AJ6" i="13"/>
  <c r="AK5" i="11"/>
  <c r="AJ6" i="11"/>
  <c r="AK6" i="13" l="1"/>
  <c r="AK4" i="13"/>
  <c r="AL5" i="13"/>
  <c r="AL5" i="11"/>
  <c r="AK4" i="11"/>
  <c r="AK6" i="11"/>
  <c r="AM5" i="13" l="1"/>
  <c r="AL6" i="13"/>
  <c r="AM5" i="11"/>
  <c r="AL6" i="11"/>
  <c r="AM6" i="13" l="1"/>
  <c r="AN5" i="13"/>
  <c r="AN5" i="11"/>
  <c r="AM6" i="11"/>
  <c r="AN6" i="13" l="1"/>
  <c r="AO5" i="13"/>
  <c r="AO5" i="11"/>
  <c r="AN6" i="11"/>
  <c r="AP5" i="13" l="1"/>
  <c r="AO6" i="13"/>
  <c r="AP5" i="11"/>
  <c r="AO6" i="11"/>
  <c r="AQ5" i="13" l="1"/>
  <c r="AP6" i="13"/>
  <c r="AQ5" i="11"/>
  <c r="AP6" i="11"/>
  <c r="AQ6" i="13" l="1"/>
  <c r="AR5" i="13"/>
  <c r="AR5" i="11"/>
  <c r="AQ6" i="11"/>
  <c r="AS5" i="13" l="1"/>
  <c r="AR6" i="13"/>
  <c r="AR4" i="13"/>
  <c r="AS5" i="11"/>
  <c r="AR4" i="11"/>
  <c r="AR6" i="11"/>
  <c r="AS6" i="13" l="1"/>
  <c r="AT5" i="13"/>
  <c r="AT5" i="11"/>
  <c r="AS6" i="11"/>
  <c r="AT6" i="13" l="1"/>
  <c r="AU5" i="13"/>
  <c r="AU5" i="11"/>
  <c r="AT6" i="11"/>
  <c r="AV5" i="13" l="1"/>
  <c r="AU6" i="13"/>
  <c r="AV5" i="11"/>
  <c r="AU6" i="11"/>
  <c r="AV6" i="13" l="1"/>
  <c r="AW5" i="13"/>
  <c r="AW5" i="11"/>
  <c r="AV6" i="11"/>
  <c r="AX5" i="13" l="1"/>
  <c r="AW6" i="13"/>
  <c r="AX5" i="11"/>
  <c r="AW6" i="11"/>
  <c r="AY5" i="13" l="1"/>
  <c r="AX6" i="13"/>
  <c r="AY5" i="11"/>
  <c r="AX6" i="11"/>
  <c r="AY6" i="13" l="1"/>
  <c r="AY4" i="13"/>
  <c r="AZ5" i="13"/>
  <c r="AZ5" i="11"/>
  <c r="AY4" i="11"/>
  <c r="AY6" i="11"/>
  <c r="AZ6" i="13" l="1"/>
  <c r="BA5" i="13"/>
  <c r="BA5" i="11"/>
  <c r="AZ6" i="11"/>
  <c r="BA6" i="13" l="1"/>
  <c r="BB5" i="13"/>
  <c r="BB5" i="11"/>
  <c r="BA6" i="11"/>
  <c r="BC5" i="13" l="1"/>
  <c r="BB6" i="13"/>
  <c r="BC5" i="11"/>
  <c r="BB6" i="11"/>
  <c r="BD5" i="13" l="1"/>
  <c r="BC6" i="13"/>
  <c r="BD5" i="11"/>
  <c r="BC6" i="11"/>
  <c r="BE5" i="13" l="1"/>
  <c r="BD6" i="13"/>
  <c r="BE5" i="11"/>
  <c r="BD6" i="11"/>
  <c r="BE6" i="13" l="1"/>
  <c r="BF5" i="13"/>
  <c r="BF5" i="11"/>
  <c r="BE6" i="11"/>
  <c r="BF6" i="13" l="1"/>
  <c r="BF4" i="13"/>
  <c r="BG5" i="13"/>
  <c r="BG5" i="11"/>
  <c r="BF4" i="11"/>
  <c r="BF6" i="11"/>
  <c r="BH5" i="13" l="1"/>
  <c r="BG6" i="13"/>
  <c r="BH5" i="11"/>
  <c r="BG6" i="11"/>
  <c r="BI5" i="13" l="1"/>
  <c r="BH6" i="13"/>
  <c r="BI5" i="11"/>
  <c r="BH6" i="11"/>
  <c r="BI6" i="13" l="1"/>
  <c r="BJ5" i="13"/>
  <c r="BJ5" i="11"/>
  <c r="BI6" i="11"/>
  <c r="BK5" i="13" l="1"/>
  <c r="BJ6" i="13"/>
  <c r="BK5" i="11"/>
  <c r="BJ6" i="11"/>
  <c r="BK6" i="13" l="1"/>
  <c r="BL5" i="13"/>
  <c r="BL5" i="11"/>
  <c r="BK6" i="11"/>
  <c r="BM5" i="13" l="1"/>
  <c r="BL6" i="13"/>
  <c r="BM5" i="11"/>
  <c r="BL6" i="11"/>
  <c r="BM6" i="13" l="1"/>
  <c r="BM4" i="13"/>
  <c r="BN5" i="13"/>
  <c r="BN5" i="11"/>
  <c r="BM4" i="11"/>
  <c r="BM6" i="11"/>
  <c r="BO5" i="13" l="1"/>
  <c r="BN6" i="13"/>
  <c r="BO5" i="11"/>
  <c r="BN6" i="11"/>
  <c r="BO6" i="13" l="1"/>
  <c r="BP5" i="13"/>
  <c r="BP5" i="11"/>
  <c r="BO6" i="11"/>
  <c r="BQ5" i="13" l="1"/>
  <c r="BP6" i="13"/>
  <c r="BQ5" i="11"/>
  <c r="BP6" i="11"/>
  <c r="BR5" i="13" l="1"/>
  <c r="BQ6" i="13"/>
  <c r="BR5" i="11"/>
  <c r="BQ6" i="11"/>
  <c r="BR6" i="13" l="1"/>
  <c r="BS5" i="13"/>
  <c r="BS5" i="11"/>
  <c r="BR6" i="11"/>
  <c r="BT5" i="13" l="1"/>
  <c r="BS6" i="13"/>
  <c r="BT5" i="11"/>
  <c r="BS6" i="11"/>
  <c r="BU5" i="13" l="1"/>
  <c r="BT6" i="13"/>
  <c r="BT4" i="13"/>
  <c r="BU5" i="11"/>
  <c r="BT6" i="11"/>
  <c r="BT4" i="11"/>
  <c r="BU6" i="13" l="1"/>
  <c r="BV5" i="13"/>
  <c r="BV5" i="11"/>
  <c r="BU6" i="11"/>
  <c r="BW5" i="13" l="1"/>
  <c r="BV6" i="13"/>
  <c r="BW5" i="11"/>
  <c r="BV6" i="11"/>
  <c r="BW6" i="13" l="1"/>
  <c r="BX5" i="13"/>
  <c r="BX5" i="11"/>
  <c r="BW6" i="11"/>
  <c r="BY5" i="13" l="1"/>
  <c r="BX6" i="13"/>
  <c r="BY5" i="11"/>
  <c r="BX6" i="11"/>
  <c r="BY6" i="13" l="1"/>
  <c r="BZ5" i="13"/>
  <c r="BZ5" i="11"/>
  <c r="BY6" i="11"/>
  <c r="CA5" i="13" l="1"/>
  <c r="BZ6" i="13"/>
  <c r="CA5" i="11"/>
  <c r="BZ6" i="11"/>
  <c r="CB5" i="13" l="1"/>
  <c r="CA6" i="13"/>
  <c r="CA4" i="13"/>
  <c r="CB5" i="11"/>
  <c r="CA6" i="11"/>
  <c r="CA4" i="11"/>
  <c r="CC5" i="13" l="1"/>
  <c r="CB6" i="13"/>
  <c r="CC5" i="11"/>
  <c r="CB6" i="11"/>
  <c r="CC6" i="13" l="1"/>
  <c r="CD5" i="13"/>
  <c r="CD5" i="11"/>
  <c r="CC6" i="11"/>
  <c r="CE5" i="13" l="1"/>
  <c r="CD6" i="13"/>
  <c r="CE5" i="11"/>
  <c r="CD6" i="11"/>
  <c r="CF5" i="13" l="1"/>
  <c r="CE6" i="13"/>
  <c r="CF5" i="11"/>
  <c r="CE6" i="11"/>
  <c r="CF6" i="13" l="1"/>
  <c r="CG5" i="13"/>
  <c r="CG5" i="11"/>
  <c r="CF6" i="11"/>
  <c r="CG6" i="13" l="1"/>
  <c r="CH5" i="13"/>
  <c r="CH5" i="11"/>
  <c r="CG6" i="11"/>
  <c r="CH6" i="13" l="1"/>
  <c r="CH4" i="13"/>
  <c r="CI5" i="13"/>
  <c r="CI5" i="11"/>
  <c r="CH6" i="11"/>
  <c r="CH4" i="11"/>
  <c r="CJ5" i="13" l="1"/>
  <c r="CI6" i="13"/>
  <c r="CJ5" i="11"/>
  <c r="CI6" i="11"/>
  <c r="CK5" i="13" l="1"/>
  <c r="CJ6" i="13"/>
  <c r="CK5" i="11"/>
  <c r="CJ6" i="11"/>
  <c r="CK6" i="13" l="1"/>
  <c r="CL5" i="13"/>
  <c r="CL5" i="11"/>
  <c r="CK6" i="11"/>
  <c r="CM5" i="13" l="1"/>
  <c r="CL6" i="13"/>
  <c r="CM5" i="11"/>
  <c r="CL6" i="11"/>
  <c r="CN5" i="13" l="1"/>
  <c r="CM6" i="13"/>
  <c r="CN5" i="11"/>
  <c r="CM6" i="11"/>
  <c r="CN6" i="13" l="1"/>
  <c r="CO5" i="13"/>
  <c r="CO5" i="11"/>
  <c r="CN6" i="11"/>
  <c r="CP5" i="13" l="1"/>
  <c r="CO6" i="13"/>
  <c r="CO4" i="13"/>
  <c r="CP5" i="11"/>
  <c r="CO6" i="11"/>
  <c r="CO4" i="11"/>
  <c r="CP6" i="13" l="1"/>
  <c r="CQ5" i="13"/>
  <c r="CQ5" i="11"/>
  <c r="CP6" i="11"/>
  <c r="CR5" i="13" l="1"/>
  <c r="CQ6" i="13"/>
  <c r="CR5" i="11"/>
  <c r="CQ6" i="11"/>
  <c r="CR6" i="13" l="1"/>
  <c r="CS5" i="13"/>
  <c r="CS5" i="11"/>
  <c r="CR6" i="11"/>
  <c r="CS6" i="13" l="1"/>
  <c r="CT5" i="13"/>
  <c r="CT5" i="11"/>
  <c r="CS6" i="11"/>
  <c r="CU5" i="13" l="1"/>
  <c r="CT6" i="13"/>
  <c r="CT6" i="11"/>
  <c r="CU5" i="11"/>
  <c r="CV5" i="13" l="1"/>
  <c r="CU6" i="13"/>
  <c r="CV5" i="11"/>
  <c r="CU6" i="11"/>
  <c r="CV6" i="13" l="1"/>
  <c r="CV4" i="13"/>
  <c r="CW5" i="13"/>
  <c r="CV6" i="11"/>
  <c r="CW5" i="11"/>
  <c r="CV4" i="11"/>
  <c r="CX5" i="13" l="1"/>
  <c r="CW6" i="13"/>
  <c r="CX5" i="11"/>
  <c r="CW6" i="11"/>
  <c r="CX6" i="13" l="1"/>
  <c r="CY5" i="13"/>
  <c r="CY5" i="11"/>
  <c r="CX6" i="11"/>
  <c r="CZ5" i="13" l="1"/>
  <c r="CY6" i="13"/>
  <c r="CZ5" i="11"/>
  <c r="CY6" i="11"/>
  <c r="CZ6" i="13" l="1"/>
  <c r="DA5" i="13"/>
  <c r="DA5" i="11"/>
  <c r="CZ6" i="11"/>
  <c r="DB5" i="13" l="1"/>
  <c r="DA6" i="13"/>
  <c r="DB5" i="11"/>
  <c r="DA6" i="11"/>
  <c r="DB6" i="13" l="1"/>
  <c r="DC5" i="13"/>
  <c r="DC5" i="11"/>
  <c r="DB6" i="11"/>
  <c r="DD5" i="13" l="1"/>
  <c r="DC6" i="13"/>
  <c r="DC4" i="13"/>
  <c r="DD5" i="11"/>
  <c r="DC6" i="11"/>
  <c r="DC4" i="11"/>
  <c r="DD6" i="13" l="1"/>
  <c r="DE5" i="13"/>
  <c r="DE5" i="11"/>
  <c r="DD6" i="11"/>
  <c r="DF5" i="13" l="1"/>
  <c r="DE6" i="13"/>
  <c r="DF5" i="11"/>
  <c r="DE6" i="11"/>
  <c r="DF6" i="13" l="1"/>
  <c r="DG5" i="13"/>
  <c r="DG5" i="11"/>
  <c r="DF6" i="11"/>
  <c r="DH5" i="13" l="1"/>
  <c r="DG6" i="13"/>
  <c r="DH5" i="11"/>
  <c r="DG6" i="11"/>
  <c r="DI5" i="13" l="1"/>
  <c r="DH6" i="13"/>
  <c r="DI5" i="11"/>
  <c r="DH6" i="11"/>
  <c r="DJ5" i="13" l="1"/>
  <c r="DI6" i="13"/>
  <c r="DJ5" i="11"/>
  <c r="DI6" i="11"/>
  <c r="DK5" i="13" l="1"/>
  <c r="DJ6" i="13"/>
  <c r="DJ4" i="13"/>
  <c r="DK5" i="11"/>
  <c r="DJ6" i="11"/>
  <c r="DJ4" i="11"/>
  <c r="DL5" i="13" l="1"/>
  <c r="DK6" i="13"/>
  <c r="DL5" i="11"/>
  <c r="DK6" i="11"/>
  <c r="DM5" i="13" l="1"/>
  <c r="DL6" i="13"/>
  <c r="DM5" i="11"/>
  <c r="DL6" i="11"/>
  <c r="DN5" i="13" l="1"/>
  <c r="DM6" i="13"/>
  <c r="DN5" i="11"/>
  <c r="DM6" i="11"/>
  <c r="DO5" i="13" l="1"/>
  <c r="DN6" i="13"/>
  <c r="DO5" i="11"/>
  <c r="DN6" i="11"/>
  <c r="DP5" i="13" l="1"/>
  <c r="DO6" i="13"/>
  <c r="DP5" i="11"/>
  <c r="DO6" i="11"/>
  <c r="DQ5" i="13" l="1"/>
  <c r="DP6" i="13"/>
  <c r="DQ5" i="11"/>
  <c r="DP6" i="11"/>
  <c r="DQ6" i="13" l="1"/>
  <c r="DQ4" i="13"/>
  <c r="DR5" i="13"/>
  <c r="DR5" i="11"/>
  <c r="DQ6" i="11"/>
  <c r="DQ4" i="11"/>
  <c r="DS5" i="13" l="1"/>
  <c r="DR6" i="13"/>
  <c r="DS5" i="11"/>
  <c r="DR6" i="11"/>
  <c r="DT5" i="13" l="1"/>
  <c r="DS6" i="13"/>
  <c r="DT5" i="11"/>
  <c r="DS6" i="11"/>
  <c r="DU5" i="13" l="1"/>
  <c r="DT6" i="13"/>
  <c r="DU5" i="11"/>
  <c r="DT6" i="11"/>
  <c r="DV5" i="13" l="1"/>
  <c r="DU6" i="13"/>
  <c r="DV5" i="11"/>
  <c r="DU6" i="11"/>
  <c r="DW5" i="13" l="1"/>
  <c r="DV6" i="13"/>
  <c r="DW5" i="11"/>
  <c r="DV6" i="11"/>
  <c r="DX5" i="13" l="1"/>
  <c r="DW6" i="13"/>
  <c r="DX5" i="11"/>
  <c r="DW6" i="11"/>
  <c r="DY5" i="13" l="1"/>
  <c r="DX6" i="13"/>
  <c r="DX4" i="13"/>
  <c r="DY5" i="11"/>
  <c r="DX6" i="11"/>
  <c r="DX4" i="11"/>
  <c r="DZ5" i="13" l="1"/>
  <c r="DY6" i="13"/>
  <c r="DZ5" i="11"/>
  <c r="DY6" i="11"/>
  <c r="EA5" i="13" l="1"/>
  <c r="DZ6" i="13"/>
  <c r="EA5" i="11"/>
  <c r="DZ6" i="11"/>
  <c r="EB5" i="13" l="1"/>
  <c r="EA6" i="13"/>
  <c r="EB5" i="11"/>
  <c r="EA6" i="11"/>
  <c r="EC5" i="13" l="1"/>
  <c r="EB6" i="13"/>
  <c r="EC5" i="11"/>
  <c r="EB6" i="11"/>
  <c r="ED5" i="13" l="1"/>
  <c r="ED6" i="13" s="1"/>
  <c r="EC6" i="13"/>
  <c r="ED5" i="11"/>
  <c r="ED6" i="11" s="1"/>
  <c r="EC6"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2EBF3D2A-F4F4-4CCE-B7BA-7DE1064621C4}">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<sst xmlns="http://schemas.openxmlformats.org/spreadsheetml/2006/main" count="132" uniqueCount="98">
  <si>
    <t>Atlantic Packaging Network Install</t>
  </si>
  <si>
    <t>Idea Networks</t>
  </si>
  <si>
    <t>Project Start:</t>
  </si>
  <si>
    <t>Ryan King</t>
  </si>
  <si>
    <t>Today:</t>
  </si>
  <si>
    <t>Progress Invoice</t>
  </si>
  <si>
    <t>Progress invoice</t>
  </si>
  <si>
    <t>Completion Invoice</t>
  </si>
  <si>
    <t>Display Week:</t>
  </si>
  <si>
    <t>TASK</t>
  </si>
  <si>
    <t>ASSIGNED
TO</t>
  </si>
  <si>
    <t>PROGRESS</t>
  </si>
  <si>
    <t>START</t>
  </si>
  <si>
    <t>END</t>
  </si>
  <si>
    <t>DAYS</t>
  </si>
  <si>
    <t>Pre-Installation Coordination</t>
  </si>
  <si>
    <t>Confirm Cabinet Locations &amp; CO Approval</t>
  </si>
  <si>
    <t>Order Material (Above Dependency)</t>
  </si>
  <si>
    <t>Print Site Drawings (Requested)</t>
  </si>
  <si>
    <t>Confirm Lift Availability</t>
  </si>
  <si>
    <t>Confirm and Schedule Manpower</t>
  </si>
  <si>
    <t>Site Review</t>
  </si>
  <si>
    <t>Cabinet Installation</t>
  </si>
  <si>
    <t>Planning and Preparation</t>
  </si>
  <si>
    <t>Cabinet 1&amp;2</t>
  </si>
  <si>
    <t>Cabinet 3&amp;4</t>
  </si>
  <si>
    <t>Cabinet 5 &amp; MDF Cabinets</t>
  </si>
  <si>
    <t>Cable Pathway</t>
  </si>
  <si>
    <t>Fiber Installation</t>
  </si>
  <si>
    <t>Rough In</t>
  </si>
  <si>
    <t>Termination</t>
  </si>
  <si>
    <t>Testing</t>
  </si>
  <si>
    <t>Clean Up Documentation</t>
  </si>
  <si>
    <t>Copper Installation</t>
  </si>
  <si>
    <t>Equipment Installation</t>
  </si>
  <si>
    <t>AP Deployment/Documentation</t>
  </si>
  <si>
    <t>IT Cabinet Equipment</t>
  </si>
  <si>
    <t>Clean and Remove Site tools</t>
  </si>
  <si>
    <t>Documentation</t>
  </si>
  <si>
    <t>Manufacturer Certification</t>
  </si>
  <si>
    <t>Insert new rows ABOVE this one</t>
  </si>
  <si>
    <t>SIMPLE GANTT CHART by Vertex42.com</t>
  </si>
  <si>
    <t>https://www.vertex42.com/ExcelTemplates/simple-gantt-chart.html</t>
  </si>
  <si>
    <t>© 2018-2019 Vertex42 LLC</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</si>
  <si>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</si>
  <si>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</si>
  <si>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</si>
  <si>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</si>
  <si>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</si>
  <si>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</si>
  <si>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</si>
  <si>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</si>
  <si>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</si>
  <si>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</si>
  <si>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</si>
  <si>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New Project</t>
  </si>
  <si>
    <t>Project Manager</t>
  </si>
  <si>
    <t>Planning</t>
  </si>
  <si>
    <t>New Task</t>
  </si>
  <si>
    <t>Projects</t>
  </si>
  <si>
    <t>Idea Networks - click a project name to open it</t>
  </si>
  <si>
    <t>Project</t>
  </si>
  <si>
    <t>Client</t>
  </si>
  <si>
    <t>Start</t>
  </si>
  <si>
    <t>Finish</t>
  </si>
  <si>
    <t>Progress</t>
  </si>
  <si>
    <t>Status</t>
  </si>
  <si>
    <t>Archived</t>
  </si>
  <si>
    <t>Tab</t>
  </si>
  <si>
    <t>Atlantic Packaging</t>
  </si>
  <si>
    <t>How to use this workbook</t>
  </si>
  <si>
    <t>One Gantt chart per project, plus a Projects overview. Idea Networks.</t>
  </si>
  <si>
    <t>Finding your way around</t>
  </si>
  <si>
    <t>•</t>
  </si>
  <si>
    <t>Projects tab: one line per project with client, project manager, start, finish, progress and status. Click a project name to open its tab.</t>
  </si>
  <si>
    <t>One tab per project: the Gantt chart. The '◄ All projects' link at the top of the chart takes you back to the Projects tab.</t>
  </si>
  <si>
    <t>Template (hidden tab): new projects are copied from it. To change what new projects start with, right-click any tab &gt; Unhide &gt; Template, edit it, then hide it again.</t>
  </si>
  <si>
    <t>Start a new project</t>
  </si>
  <si>
    <t>3.  The new tab opens with one 'Planning' section and one task. Rename them and add your own sections and tasks.</t>
  </si>
  <si>
    <t>Build the schedule</t>
  </si>
  <si>
    <t>Type task names, Assigned To, Progress (%), Start and End straight into the cells. The bars, DAYS and the Projects tab update by themselves.</t>
  </si>
  <si>
    <t>Display Week (cell E4) moves the chart: 1 is the week the project starts, 2 the week after, and so on.</t>
  </si>
  <si>
    <t>Finish or put away a project</t>
  </si>
  <si>
    <t>Good to know</t>
  </si>
  <si>
    <t>Keep all tasks above the grey 'Insert new rows ABOVE this one' row.</t>
  </si>
  <si>
    <t>Progress on the Projects tab weights each task by its length in days. Status turns Overdue when today is past the last end date and progress is under 100%.</t>
  </si>
  <si>
    <t>1.  Go to the Projects tab and click Run New Project.</t>
  </si>
  <si>
    <t>2.  Enter the project name and start date (for example 2026-11-02); client and project manager are optional. Click Run.</t>
  </si>
  <si>
    <t>Run Add Task: select a task first; the new task goes right below it. Select a section header instead and it goes at the end of that section.</t>
  </si>
  <si>
    <t>Run Add Section: select anything in a section; the new section goes after it.</t>
  </si>
  <si>
    <t>To delete tasks, select their rows, right-click &gt; Delete. Delete a section the same way (its header row plus its tasks).</t>
  </si>
  <si>
    <t>On the Projects tab, click the project's row, then Run Archive Project. Its tab is hidden and its status shows Archived.</t>
  </si>
  <si>
    <t>To bring it back, click the archived row and Run Archive Project again.</t>
  </si>
  <si>
    <t>The buttons run Office Scripts. Each one asks for its inputs in a small panel; click Run to go ahead or Cancel to stop. They are also on the Automate tab of the ribbon.</t>
  </si>
  <si>
    <t>Script actions can't always be undone with Ctrl+Z, so take care with Archive and deleting.</t>
  </si>
  <si>
    <t>If you rename a project tab, type the new name in its Tab cell on the Projects tab so the link and Archive keep working.</t>
  </si>
  <si>
    <t>Everyone should work in this one shared file (from the link, in the browser or Teams), not a downloaded copy.</t>
  </si>
  <si>
    <t>Client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</si>
</sst>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mmm\ d\,\ yyyy"/>
    <numFmt numFmtId="166" formatCode="d"/>
    <numFmt numFmtId="167" formatCode="[$-F800]dddd\,\ mmmm\ dd\,\ yyyy"/>
  </numFmts>
  <fonts count="38"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
      <u/>
      <sz val="10"/>
      <color rgb="FF0563C1"/>
      <name val="Arial"/>
      <family val="2"/>
    </font>
    <font>
      <b/>
      <sz val="20"/>
      <color theme="1"/>
      <name val="Calibri"/>
      <family val="2"/>
      <scheme val="minor"/>
    </font>
    <font>
      <sz val="10"/>
      <color rgb="FF595959"/>
      <name val="Calibri"/>
      <family val="2"/>
      <scheme val="minor"/>
    </font>
    <font>
      <b/>
      <sz val="11"/>
      <color rgb="FFFFFFFF"/>
      <name val="Calibri"/>
      <family val="2"/>
      <scheme val="minor"/>
    </font>
    <font>
      <sz val="11"/>
      <color rgb="FF808080"/>
      <name val="Calibri"/>
      <family val="2"/>
      <scheme val="minor"/>
    </font>
    <font>
      <sz val="11"/>
      <color theme="1"/>
      <name val="Arial"/>
      <family val="2"/>
    </font>
    <font>
      <b/>
      <sz val="20"/>
      <color theme="1"/>
      <name val="Arial"/>
      <family val="2"/>
    </font>
    <font>
      <sz val="11"/>
      <color rgb="FF595959"/>
      <name val="Arial"/>
      <family val="2"/>
    </font>
    <font>
      <b/>
      <sz val="13"/>
      <color rgb="FF44546A"/>
      <name val="Arial"/>
      <family val="2"/>
    </font>
  </fonts>
  <fills count="18">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249977111117893"/>
        <bgColor indexed="64"/>
      </patternFill>
    </fill>
    <fill>
      <patternFill patternType="solid">
        <fgColor theme="0"/>
        <bgColor indexed="64"/>
      </patternFill>
    </fill>
    <fill>
      <patternFill patternType="solid">
        <fgColor rgb="FF44546A"/>
        <bgColor indexed="64"/>
      </patternFill>
    </fill>
    <fill>
      <patternFill patternType="solid">
        <fgColor rgb="FFD9D9D9"/>
        <bgColor indexed="64"/>
      </patternFill>
    </fill>
  </fills>
  <borders count="13">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rgb="FFD9D9D9"/>
      </bottom>
      <diagonal/>
    </border>
  </borders>
  <cellStyleXfs count="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cellStyleXfs>
  <cellXfs count="12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10" fillId="0" borderId="0" xfId="0" applyFont="1"/>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6" fontId="11" fillId="7" borderId="0" xfId="0" applyNumberFormat="1" applyFont="1" applyFill="1" applyAlignment="1">
      <alignment horizontal="center" vertical="center"/>
    </xf>
    <xf numFmtId="166" fontId="11" fillId="7" borderId="8" xfId="0" applyNumberFormat="1" applyFont="1" applyFill="1" applyBorder="1" applyAlignment="1">
      <alignment horizontal="center" vertical="center"/>
    </xf>
    <xf numFmtId="166" fontId="11" fillId="7" borderId="9" xfId="0" applyNumberFormat="1" applyFont="1" applyFill="1" applyBorder="1" applyAlignment="1">
      <alignment horizontal="center" vertical="center"/>
    </xf>
    <xf numFmtId="0" fontId="14" fillId="12" borderId="10" xfId="0" applyFont="1" applyFill="1" applyBorder="1" applyAlignment="1">
      <alignment horizontal="center" vertical="center" shrinkToFit="1"/>
    </xf>
    <xf numFmtId="0" fontId="15" fillId="0" borderId="0" xfId="0" applyFont="1" applyAlignment="1">
      <alignment horizontal="left"/>
    </xf>
    <xf numFmtId="0" fontId="16" fillId="0" borderId="0" xfId="0" applyFont="1"/>
    <xf numFmtId="0" fontId="17" fillId="0" borderId="0" xfId="1" applyFont="1" applyAlignment="1" applyProtection="1"/>
    <xf numFmtId="0" fontId="18"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0" fontId="6" fillId="8" borderId="2" xfId="0" applyFont="1" applyFill="1" applyBorder="1" applyAlignment="1">
      <alignment horizontal="center" vertical="center"/>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0" borderId="2" xfId="0" applyFill="1" applyBorder="1" applyAlignment="1">
      <alignment horizontal="left" vertical="center" indent="2"/>
    </xf>
    <xf numFmtId="0" fontId="0" fillId="10" borderId="2" xfId="0"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19" fillId="0" borderId="0" xfId="0" applyFont="1" applyAlignment="1">
      <alignment horizontal="left" vertical="center"/>
    </xf>
    <xf numFmtId="0" fontId="20" fillId="0" borderId="0" xfId="0" applyFont="1" applyAlignment="1">
      <alignment horizontal="left" vertical="center"/>
    </xf>
    <xf numFmtId="0" fontId="21" fillId="0" borderId="0" xfId="0" applyFont="1" applyAlignment="1">
      <alignment vertical="center"/>
    </xf>
    <xf numFmtId="0" fontId="2" fillId="0" borderId="0" xfId="0" applyFont="1" applyAlignment="1">
      <alignment horizontal="left" vertical="center"/>
    </xf>
    <xf numFmtId="0" fontId="22" fillId="0" borderId="0" xfId="0" applyFont="1"/>
    <xf numFmtId="0" fontId="23" fillId="0" borderId="0" xfId="0" applyFont="1" applyAlignment="1">
      <alignment vertical="top" wrapText="1"/>
    </xf>
    <xf numFmtId="0" fontId="24" fillId="0" borderId="0" xfId="0" applyFont="1" applyAlignment="1">
      <alignment vertical="center"/>
    </xf>
    <xf numFmtId="0" fontId="23" fillId="0" borderId="0" xfId="0" applyFont="1" applyAlignment="1">
      <alignment horizontal="left" vertical="top" wrapText="1" indent="1"/>
    </xf>
    <xf numFmtId="0" fontId="3" fillId="0" borderId="0" xfId="1" applyAlignment="1" applyProtection="1">
      <alignment horizontal="left" indent="1"/>
    </xf>
    <xf numFmtId="14" fontId="25" fillId="0" borderId="0" xfId="0" applyNumberFormat="1" applyFont="1" applyAlignment="1">
      <alignment horizontal="center"/>
    </xf>
    <xf numFmtId="0" fontId="2" fillId="0" borderId="0" xfId="0" applyFont="1" applyAlignment="1">
      <alignment horizontal="right" vertical="center"/>
    </xf>
    <xf numFmtId="0" fontId="26" fillId="0" borderId="0" xfId="0" applyFont="1" applyAlignment="1">
      <alignment vertical="top"/>
    </xf>
    <xf numFmtId="0" fontId="27" fillId="0" borderId="0" xfId="0" applyFont="1"/>
    <xf numFmtId="0" fontId="27" fillId="0" borderId="0" xfId="1" applyFont="1" applyAlignment="1" applyProtection="1"/>
    <xf numFmtId="0" fontId="3" fillId="0" borderId="0" xfId="1" applyFill="1" applyAlignment="1" applyProtection="1">
      <alignment horizontal="left" indent="1"/>
    </xf>
    <xf numFmtId="167" fontId="0" fillId="3" borderId="2" xfId="0" applyNumberFormat="1" applyFill="1" applyBorder="1" applyAlignment="1">
      <alignment horizontal="center" vertical="center"/>
    </xf>
    <xf numFmtId="167" fontId="5" fillId="3" borderId="2" xfId="0" applyNumberFormat="1" applyFont="1" applyFill="1" applyBorder="1" applyAlignment="1">
      <alignment horizontal="center" vertical="center"/>
    </xf>
    <xf numFmtId="167" fontId="0" fillId="4" borderId="2" xfId="0" applyNumberFormat="1" applyFill="1" applyBorder="1" applyAlignment="1">
      <alignment horizontal="center" vertical="center"/>
    </xf>
    <xf numFmtId="167" fontId="5" fillId="4" borderId="2" xfId="0" applyNumberFormat="1" applyFont="1" applyFill="1" applyBorder="1" applyAlignment="1">
      <alignment horizontal="center" vertical="center"/>
    </xf>
    <xf numFmtId="167" fontId="0" fillId="11" borderId="2" xfId="0" applyNumberFormat="1" applyFill="1" applyBorder="1" applyAlignment="1">
      <alignment horizontal="center" vertical="center"/>
    </xf>
    <xf numFmtId="167" fontId="0" fillId="10" borderId="2" xfId="0" applyNumberFormat="1" applyFill="1" applyBorder="1" applyAlignment="1">
      <alignment horizontal="center" vertical="center"/>
    </xf>
    <xf numFmtId="167" fontId="5" fillId="10" borderId="2" xfId="0" applyNumberFormat="1" applyFont="1" applyFill="1" applyBorder="1" applyAlignment="1">
      <alignment horizontal="center" vertical="center"/>
    </xf>
    <xf numFmtId="0" fontId="6" fillId="3" borderId="2" xfId="0" applyFont="1" applyFill="1" applyBorder="1" applyAlignment="1">
      <alignment horizontal="left" vertical="center" indent="1"/>
    </xf>
    <xf numFmtId="0" fontId="6" fillId="3" borderId="2" xfId="0"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166" fontId="11" fillId="14" borderId="0" xfId="0" applyNumberFormat="1" applyFont="1" applyFill="1" applyAlignment="1">
      <alignment horizontal="center" vertical="center"/>
    </xf>
    <xf numFmtId="166" fontId="11" fillId="14" borderId="8" xfId="0" applyNumberFormat="1" applyFont="1" applyFill="1" applyBorder="1" applyAlignment="1">
      <alignment horizontal="center" vertical="center"/>
    </xf>
    <xf numFmtId="0" fontId="0" fillId="15" borderId="0" xfId="0" applyFill="1"/>
    <xf numFmtId="0" fontId="30" fillId="0" borderId="0" xfId="0" applyFont="1"/>
    <xf numFmtId="0" fontId="31" fillId="0" borderId="0" xfId="0" applyFont="1"/>
    <xf numFmtId="0" fontId="32" fillId="16" borderId="0" xfId="0" applyFont="1" applyFill="1" applyAlignment="1">
      <alignment vertical="center"/>
    </xf>
    <xf numFmtId="0" fontId="32" fillId="16" borderId="0" xfId="0" applyFont="1" applyFill="1" applyAlignment="1">
      <alignment horizontal="center" vertical="center"/>
    </xf>
    <xf numFmtId="165" fontId="0" fillId="0" borderId="0" xfId="0" applyNumberFormat="1" applyAlignment="1">
      <alignment horizontal="center"/>
    </xf>
    <xf numFmtId="9" fontId="0" fillId="0" borderId="0" xfId="0" applyNumberFormat="1" applyAlignment="1">
      <alignment horizontal="center"/>
    </xf>
    <xf numFmtId="0" fontId="0" fillId="0" borderId="12" xfId="0" applyBorder="1" applyAlignment="1">
      <alignment vertical="center"/>
    </xf>
    <xf numFmtId="165" fontId="0" fillId="0" borderId="12" xfId="0" applyNumberFormat="1" applyBorder="1" applyAlignment="1">
      <alignment horizontal="center" vertical="center"/>
    </xf>
    <xf numFmtId="9" fontId="0" fillId="0" borderId="12" xfId="0" applyNumberFormat="1" applyBorder="1" applyAlignment="1">
      <alignment horizontal="center" vertical="center"/>
    </xf>
    <xf numFmtId="0" fontId="0" fillId="0" borderId="12" xfId="0" applyBorder="1" applyAlignment="1">
      <alignment horizontal="center" vertical="center"/>
    </xf>
    <xf numFmtId="0" fontId="33" fillId="0" borderId="12" xfId="0" applyFont="1" applyBorder="1" applyAlignment="1">
      <alignment vertical="center"/>
    </xf>
    <xf numFmtId="0" fontId="33" fillId="0" borderId="0" xfId="0" applyFont="1"/>
    <xf numFmtId="0" fontId="3" fillId="0" borderId="12" xfId="1" applyBorder="1" applyAlignment="1" applyProtection="1">
      <alignment vertical="center"/>
    </xf>
    <xf numFmtId="0" fontId="34" fillId="0" borderId="0" xfId="0" applyFont="1"/>
    <xf numFmtId="0" fontId="35" fillId="0" borderId="0" xfId="0" applyFont="1" applyAlignment="1">
      <alignment vertical="top"/>
    </xf>
    <xf numFmtId="0" fontId="34" fillId="0" borderId="0" xfId="0" applyFont="1" applyAlignment="1">
      <alignment vertical="top"/>
    </xf>
    <xf numFmtId="0" fontId="36" fillId="0" borderId="0" xfId="0" applyFont="1" applyAlignment="1">
      <alignment vertical="top"/>
    </xf>
    <xf numFmtId="0" fontId="37" fillId="0" borderId="0" xfId="0" applyFont="1" applyAlignment="1">
      <alignment vertical="top"/>
    </xf>
    <xf numFmtId="0" fontId="34" fillId="0" borderId="0" xfId="0" applyFont="1" applyAlignment="1">
      <alignment horizontal="right" vertical="top"/>
    </xf>
    <xf numFmtId="0" fontId="34" fillId="0" borderId="0" xfId="0" applyFont="1" applyAlignment="1">
      <alignment vertical="top" wrapText="1"/>
    </xf>
    <xf numFmtId="0" fontId="28" fillId="0" borderId="0" xfId="1" applyFont="1" applyAlignment="1" applyProtection="1">
      <alignment horizontal="left" vertical="center"/>
    </xf>
    <xf numFmtId="0" fontId="29" fillId="0" borderId="0" xfId="1" applyFont="1" applyAlignment="1" applyProtection="1"/>
    <xf numFmtId="0" fontId="29" fillId="0" borderId="0" xfId="1" applyFont="1" applyAlignment="1" applyProtection="1">
      <alignment vertical="center"/>
    </xf>
    <xf numFmtId="165" fontId="0" fillId="7" borderId="6" xfId="0" applyNumberFormat="1" applyFill="1" applyBorder="1" applyAlignment="1">
      <alignment horizontal="left" vertical="center" wrapText="1" indent="1"/>
    </xf>
    <xf numFmtId="165" fontId="0" fillId="7" borderId="1" xfId="0" applyNumberFormat="1" applyFill="1" applyBorder="1" applyAlignment="1">
      <alignment horizontal="left" vertical="center" wrapText="1" indent="1"/>
    </xf>
    <xf numFmtId="165" fontId="0" fillId="7" borderId="7" xfId="0" applyNumberFormat="1" applyFill="1" applyBorder="1" applyAlignment="1">
      <alignment horizontal="left" vertical="center" wrapText="1" indent="1"/>
    </xf>
    <xf numFmtId="167" fontId="0" fillId="0" borderId="4" xfId="0" applyNumberFormat="1" applyBorder="1" applyAlignment="1">
      <alignment horizontal="center" vertical="center"/>
    </xf>
    <xf numFmtId="167" fontId="0" fillId="0" borderId="5" xfId="0" applyNumberFormat="1" applyBorder="1" applyAlignment="1">
      <alignment horizontal="center" vertical="center"/>
    </xf>
    <xf numFmtId="0" fontId="29" fillId="0" borderId="0" xfId="1" applyFont="1" applyAlignment="1" applyProtection="1">
      <alignment horizontal="left" vertical="center"/>
    </xf>
    <xf numFmtId="166" fontId="11" fillId="17" borderId="8" xfId="0" applyNumberFormat="1" applyFont="1" applyFill="1" applyBorder="1" applyAlignment="1">
      <alignment horizontal="center" vertical="center"/>
    </xf>
    <xf numFmtId="166" fontId="11" fillId="17" borderId="0" xfId="0" applyNumberFormat="1" applyFont="1" applyFill="1" applyAlignment="1">
      <alignment horizontal="center" vertical="center"/>
    </xf>
    <xf numFmtId="166" fontId="11" fillId="17" borderId="9" xfId="0" applyNumberFormat="1" applyFont="1" applyFill="1" applyBorder="1" applyAlignment="1">
      <alignment horizontal="center" vertical="center"/>
    </xf>
  </cellXfs>
  <cellStyles count="3">
    <cellStyle name="Hyperlink" xfId="1" builtinId="8" customBuiltin="1"/>
    <cellStyle name="Normal" xfId="0" builtinId="0"/>
    <cellStyle name="Percent" xfId="2" builtinId="5"/>
  </cellStyles>
  <dxfs count="20">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font>
        <color rgb="FF808080"/>
      </font>
      <fill>
        <patternFill>
          <bgColor rgb="FFF2F2F2"/>
        </patternFill>
      </fill>
    </dxf>
    <dxf>
      <font>
        <color rgb="FF595959"/>
      </font>
      <fill>
        <patternFill>
          <bgColor rgb="FFF2F2F2"/>
        </patternFill>
      </fill>
    </dxf>
    <dxf>
      <font>
        <color rgb="FF1F4E79"/>
      </font>
      <fill>
        <patternFill>
          <bgColor rgb="FFDDEBF7"/>
        </patternFill>
      </fill>
    </dxf>
    <dxf>
      <font>
        <color rgb="FF006100"/>
      </font>
      <fill>
        <patternFill>
          <bgColor rgb="FFC6EFCE"/>
        </patternFill>
      </fill>
    </dxf>
    <dxf>
      <font>
        <color rgb="FF9C0006"/>
      </font>
      <fill>
        <patternFill>
          <bgColor rgb="FFFFC7CE"/>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secondRowStripe" dxfId="13"/>
      <tableStyleElement type="firstColumnStripe" dxfId="12"/>
      <tableStyleElement type="secondColumnStripe" dxfId="11"/>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2AC89-FA5E-48A9-891A-E010E199E01E}">
  <dimension ref="B1:K1000"/>
  <sheetViews>
    <sheetView showGridLines="0" tabSelected="1" workbookViewId="0">
      <pane ySplit="5" topLeftCell="A6" activePane="bottomLeft" state="frozen"/>
      <selection pane="bottomLeft" activeCell="B6" sqref="B6"/>
    </sheetView>
  </sheetViews>
  <sheetFormatPr defaultRowHeight="15" x14ac:dyDescent="0.25"/>
  <cols>
    <col min="1" max="1" width="2.7109375" customWidth="1"/>
    <col min="2" max="2" width="42.7109375" customWidth="1"/>
    <col min="3" max="3" width="24.7109375" customWidth="1"/>
    <col min="4" max="4" width="20.7109375" customWidth="1"/>
    <col min="5" max="6" width="14.7109375" customWidth="1"/>
    <col min="7" max="7" width="11.7109375" customWidth="1"/>
    <col min="8" max="8" width="14.7109375" customWidth="1"/>
    <col min="9" max="9" width="10.7109375" customWidth="1"/>
    <col min="10" max="10" width="28.7109375" customWidth="1"/>
    <col min="11" max="11" width="30.7109375" customWidth="1"/>
  </cols>
  <sheetData>
    <row r="1" spans="2:11" ht="30" customHeight="1" x14ac:dyDescent="0.4">
      <c r="B1" s="96" t="s">
        <v>59</v>
      </c>
    </row>
    <row r="2" spans="2:11" x14ac:dyDescent="0.25">
      <c r="B2" s="97" t="s">
        <v>60</v>
      </c>
    </row>
    <row r="3" spans="2:11" x14ac:dyDescent="0.25">
      <c r="B3" s="117" t="str">
        <f>HYPERLINK("#'Instructions'!A1","How to use this workbook ►")</f>
        <v>How to use this workbook ►</v>
      </c>
    </row>
    <row r="5" spans="2:11" ht="24" customHeight="1" x14ac:dyDescent="0.25">
      <c r="B5" s="98" t="s">
        <v>61</v>
      </c>
      <c r="C5" s="98" t="s">
        <v>62</v>
      </c>
      <c r="D5" s="98" t="s">
        <v>56</v>
      </c>
      <c r="E5" s="99" t="s">
        <v>63</v>
      </c>
      <c r="F5" s="99" t="s">
        <v>64</v>
      </c>
      <c r="G5" s="99" t="s">
        <v>65</v>
      </c>
      <c r="H5" s="99" t="s">
        <v>66</v>
      </c>
      <c r="I5" s="99" t="s">
        <v>67</v>
      </c>
      <c r="J5" s="98" t="s">
        <v>68</v>
      </c>
      <c r="K5" s="98" t="s">
        <v>97</v>
      </c>
    </row>
    <row r="6" spans="2:11" ht="21" customHeight="1" x14ac:dyDescent="0.25">
      <c r="B6" s="108" t="str">
        <f>HYPERLINK("#'"&amp;SUBSTITUTE(J6,"'","''")&amp;"'!A1",'Atlantic Packaging'!$B$1)</f>
        <v>Atlantic Packaging Network Install</v>
      </c>
      <c r="C6" s="102" t="s">
        <v>69</v>
      </c>
      <c r="D6" s="102" t="str">
        <f>'Atlantic Packaging'!$B$3&amp;""</f>
        <v>Ryan King</v>
      </c>
      <c r="E6" s="103">
        <f>IF(COUNT('Atlantic Packaging'!$E$7:$E$1000)=0,"",MIN('Atlantic Packaging'!$E$7:$E$1000))</f>
        <v>45313</v>
      </c>
      <c r="F6" s="103">
        <f>IF(COUNT('Atlantic Packaging'!$F$7:$F$1000)=0,"",MAX('Atlantic Packaging'!$F$7:$F$1000))</f>
        <v>45400</v>
      </c>
      <c r="G6" s="104">
        <f>IFERROR(SUMPRODUCT('Atlantic Packaging'!$D$7:$D$1000,'Atlantic Packaging'!$H$7:$H$1000)/SUM('Atlantic Packaging'!$H$7:$H$1000),"")</f>
        <v>7.3619631901840492E-5</v>
      </c>
      <c r="H6" s="105" t="str">
        <f ca="1">IF(I6="Yes","Archived",IF(E6="","Not scheduled",IF(N(G6)&gt;=1,"Complete",IF(TODAY()&lt;E6,"Not started",IF(TODAY()&gt;F6,"Overdue","In progress")))))</f>
        <v>Overdue</v>
      </c>
      <c r="I6" s="105"/>
      <c r="J6" s="106" t="s">
        <v>69</v>
      </c>
      <c r="K6" s="106"/>
    </row>
    <row r="7" spans="2:11" x14ac:dyDescent="0.25">
      <c r="E7" s="100"/>
      <c r="F7" s="100"/>
      <c r="G7" s="101"/>
      <c r="H7" s="5"/>
      <c r="I7" s="5"/>
      <c r="J7" s="107"/>
    </row>
    <row r="8" spans="2:11" x14ac:dyDescent="0.25">
      <c r="E8" s="100"/>
      <c r="F8" s="100"/>
      <c r="G8" s="101"/>
      <c r="H8" s="5"/>
      <c r="I8" s="5"/>
      <c r="J8" s="107"/>
    </row>
    <row r="9" spans="2:11" x14ac:dyDescent="0.25">
      <c r="E9" s="100"/>
      <c r="F9" s="100"/>
      <c r="G9" s="101"/>
      <c r="H9" s="5"/>
      <c r="I9" s="5"/>
      <c r="J9" s="107"/>
    </row>
    <row r="10" spans="2:11" x14ac:dyDescent="0.25">
      <c r="E10" s="100"/>
      <c r="F10" s="100"/>
      <c r="G10" s="101"/>
      <c r="H10" s="5"/>
      <c r="I10" s="5"/>
      <c r="J10" s="107"/>
    </row>
    <row r="11" spans="2:11" x14ac:dyDescent="0.25">
      <c r="E11" s="100"/>
      <c r="F11" s="100"/>
      <c r="G11" s="101"/>
      <c r="H11" s="5"/>
      <c r="I11" s="5"/>
      <c r="J11" s="107"/>
    </row>
    <row r="12" spans="2:11" x14ac:dyDescent="0.25">
      <c r="E12" s="100"/>
      <c r="F12" s="100"/>
      <c r="G12" s="101"/>
      <c r="H12" s="5"/>
      <c r="I12" s="5"/>
      <c r="J12" s="107"/>
    </row>
    <row r="13" spans="2:11" x14ac:dyDescent="0.25">
      <c r="E13" s="100"/>
      <c r="F13" s="100"/>
      <c r="G13" s="101"/>
      <c r="H13" s="5"/>
      <c r="I13" s="5"/>
      <c r="J13" s="107"/>
    </row>
    <row r="14" spans="2:11" x14ac:dyDescent="0.25">
      <c r="E14" s="100"/>
      <c r="F14" s="100"/>
      <c r="G14" s="101"/>
      <c r="H14" s="5"/>
      <c r="I14" s="5"/>
      <c r="J14" s="107"/>
    </row>
    <row r="15" spans="2:11" x14ac:dyDescent="0.25">
      <c r="E15" s="100"/>
      <c r="F15" s="100"/>
      <c r="G15" s="101"/>
      <c r="H15" s="5"/>
      <c r="I15" s="5"/>
      <c r="J15" s="107"/>
    </row>
    <row r="16" spans="2:11" x14ac:dyDescent="0.25">
      <c r="E16" s="100"/>
      <c r="F16" s="100"/>
      <c r="G16" s="101"/>
      <c r="H16" s="5"/>
      <c r="I16" s="5"/>
      <c r="J16" s="107"/>
    </row>
    <row r="17" spans="5:10" x14ac:dyDescent="0.25">
      <c r="E17" s="100"/>
      <c r="F17" s="100"/>
      <c r="G17" s="101"/>
      <c r="H17" s="5"/>
      <c r="I17" s="5"/>
      <c r="J17" s="107"/>
    </row>
    <row r="18" spans="5:10" x14ac:dyDescent="0.25">
      <c r="E18" s="100"/>
      <c r="F18" s="100"/>
      <c r="G18" s="101"/>
      <c r="H18" s="5"/>
      <c r="I18" s="5"/>
      <c r="J18" s="107"/>
    </row>
    <row r="19" spans="5:10" x14ac:dyDescent="0.25">
      <c r="E19" s="100"/>
      <c r="F19" s="100"/>
      <c r="G19" s="101"/>
      <c r="H19" s="5"/>
      <c r="I19" s="5"/>
      <c r="J19" s="107"/>
    </row>
    <row r="20" spans="5:10" x14ac:dyDescent="0.25">
      <c r="E20" s="100"/>
      <c r="F20" s="100"/>
      <c r="G20" s="101"/>
      <c r="H20" s="5"/>
      <c r="I20" s="5"/>
      <c r="J20" s="107"/>
    </row>
    <row r="21" spans="5:10" x14ac:dyDescent="0.25">
      <c r="E21" s="100"/>
      <c r="F21" s="100"/>
      <c r="G21" s="101"/>
      <c r="H21" s="5"/>
      <c r="I21" s="5"/>
      <c r="J21" s="107"/>
    </row>
    <row r="22" spans="5:10" x14ac:dyDescent="0.25">
      <c r="E22" s="100"/>
      <c r="F22" s="100"/>
      <c r="G22" s="101"/>
      <c r="H22" s="5"/>
      <c r="I22" s="5"/>
      <c r="J22" s="107"/>
    </row>
    <row r="23" spans="5:10" x14ac:dyDescent="0.25">
      <c r="E23" s="100"/>
      <c r="F23" s="100"/>
      <c r="G23" s="101"/>
      <c r="H23" s="5"/>
      <c r="I23" s="5"/>
      <c r="J23" s="107"/>
    </row>
    <row r="24" spans="5:10" x14ac:dyDescent="0.25">
      <c r="E24" s="100"/>
      <c r="F24" s="100"/>
      <c r="G24" s="101"/>
      <c r="H24" s="5"/>
      <c r="I24" s="5"/>
      <c r="J24" s="107"/>
    </row>
    <row r="25" spans="5:10" x14ac:dyDescent="0.25">
      <c r="E25" s="100"/>
      <c r="F25" s="100"/>
      <c r="G25" s="101"/>
      <c r="H25" s="5"/>
      <c r="I25" s="5"/>
      <c r="J25" s="107"/>
    </row>
    <row r="26" spans="5:10" x14ac:dyDescent="0.25">
      <c r="E26" s="100"/>
      <c r="F26" s="100"/>
      <c r="G26" s="101"/>
      <c r="H26" s="5"/>
      <c r="I26" s="5"/>
      <c r="J26" s="107"/>
    </row>
    <row r="27" spans="5:10" x14ac:dyDescent="0.25">
      <c r="E27" s="100"/>
      <c r="F27" s="100"/>
      <c r="G27" s="101"/>
      <c r="H27" s="5"/>
      <c r="I27" s="5"/>
      <c r="J27" s="107"/>
    </row>
    <row r="28" spans="5:10" x14ac:dyDescent="0.25">
      <c r="E28" s="100"/>
      <c r="F28" s="100"/>
      <c r="G28" s="101"/>
      <c r="H28" s="5"/>
      <c r="I28" s="5"/>
      <c r="J28" s="107"/>
    </row>
    <row r="29" spans="5:10" x14ac:dyDescent="0.25">
      <c r="E29" s="100"/>
      <c r="F29" s="100"/>
      <c r="G29" s="101"/>
      <c r="H29" s="5"/>
      <c r="I29" s="5"/>
      <c r="J29" s="107"/>
    </row>
    <row r="30" spans="5:10" x14ac:dyDescent="0.25">
      <c r="E30" s="100"/>
      <c r="F30" s="100"/>
      <c r="G30" s="101"/>
      <c r="H30" s="5"/>
      <c r="I30" s="5"/>
      <c r="J30" s="107"/>
    </row>
    <row r="31" spans="5:10" x14ac:dyDescent="0.25">
      <c r="E31" s="100"/>
      <c r="F31" s="100"/>
      <c r="G31" s="101"/>
      <c r="H31" s="5"/>
      <c r="I31" s="5"/>
      <c r="J31" s="107"/>
    </row>
    <row r="32" spans="5:10" x14ac:dyDescent="0.25">
      <c r="E32" s="100"/>
      <c r="F32" s="100"/>
      <c r="G32" s="101"/>
      <c r="H32" s="5"/>
      <c r="I32" s="5"/>
      <c r="J32" s="107"/>
    </row>
    <row r="33" spans="5:10" x14ac:dyDescent="0.25">
      <c r="E33" s="100"/>
      <c r="F33" s="100"/>
      <c r="G33" s="101"/>
      <c r="H33" s="5"/>
      <c r="I33" s="5"/>
      <c r="J33" s="107"/>
    </row>
    <row r="34" spans="5:10" x14ac:dyDescent="0.25">
      <c r="E34" s="100"/>
      <c r="F34" s="100"/>
      <c r="G34" s="101"/>
      <c r="H34" s="5"/>
      <c r="I34" s="5"/>
      <c r="J34" s="107"/>
    </row>
    <row r="35" spans="5:10" x14ac:dyDescent="0.25">
      <c r="E35" s="100"/>
      <c r="F35" s="100"/>
      <c r="G35" s="101"/>
      <c r="H35" s="5"/>
      <c r="I35" s="5"/>
      <c r="J35" s="107"/>
    </row>
    <row r="36" spans="5:10" x14ac:dyDescent="0.25">
      <c r="E36" s="100"/>
      <c r="F36" s="100"/>
      <c r="G36" s="101"/>
      <c r="H36" s="5"/>
      <c r="I36" s="5"/>
      <c r="J36" s="107"/>
    </row>
    <row r="37" spans="5:10" x14ac:dyDescent="0.25">
      <c r="E37" s="100"/>
      <c r="F37" s="100"/>
      <c r="G37" s="101"/>
      <c r="H37" s="5"/>
      <c r="I37" s="5"/>
      <c r="J37" s="107"/>
    </row>
    <row r="38" spans="5:10" x14ac:dyDescent="0.25">
      <c r="E38" s="100"/>
      <c r="F38" s="100"/>
      <c r="G38" s="101"/>
      <c r="H38" s="5"/>
      <c r="I38" s="5"/>
      <c r="J38" s="107"/>
    </row>
    <row r="39" spans="5:10" x14ac:dyDescent="0.25">
      <c r="E39" s="100"/>
      <c r="F39" s="100"/>
      <c r="G39" s="101"/>
      <c r="H39" s="5"/>
      <c r="I39" s="5"/>
      <c r="J39" s="107"/>
    </row>
    <row r="40" spans="5:10" x14ac:dyDescent="0.25">
      <c r="E40" s="100"/>
      <c r="F40" s="100"/>
      <c r="G40" s="101"/>
      <c r="H40" s="5"/>
      <c r="I40" s="5"/>
      <c r="J40" s="107"/>
    </row>
    <row r="41" spans="5:10" x14ac:dyDescent="0.25">
      <c r="E41" s="100"/>
      <c r="F41" s="100"/>
      <c r="G41" s="101"/>
      <c r="H41" s="5"/>
      <c r="I41" s="5"/>
      <c r="J41" s="107"/>
    </row>
    <row r="42" spans="5:10" x14ac:dyDescent="0.25">
      <c r="E42" s="100"/>
      <c r="F42" s="100"/>
      <c r="G42" s="101"/>
      <c r="H42" s="5"/>
      <c r="I42" s="5"/>
      <c r="J42" s="107"/>
    </row>
    <row r="43" spans="5:10" x14ac:dyDescent="0.25">
      <c r="E43" s="100"/>
      <c r="F43" s="100"/>
      <c r="G43" s="101"/>
      <c r="H43" s="5"/>
      <c r="I43" s="5"/>
      <c r="J43" s="107"/>
    </row>
    <row r="44" spans="5:10" x14ac:dyDescent="0.25">
      <c r="E44" s="100"/>
      <c r="F44" s="100"/>
      <c r="G44" s="101"/>
      <c r="H44" s="5"/>
      <c r="I44" s="5"/>
      <c r="J44" s="107"/>
    </row>
    <row r="45" spans="5:10" x14ac:dyDescent="0.25">
      <c r="E45" s="100"/>
      <c r="F45" s="100"/>
      <c r="G45" s="101"/>
      <c r="H45" s="5"/>
      <c r="I45" s="5"/>
      <c r="J45" s="107"/>
    </row>
    <row r="46" spans="5:10" x14ac:dyDescent="0.25">
      <c r="E46" s="100"/>
      <c r="F46" s="100"/>
      <c r="G46" s="101"/>
      <c r="H46" s="5"/>
      <c r="I46" s="5"/>
      <c r="J46" s="107"/>
    </row>
    <row r="47" spans="5:10" x14ac:dyDescent="0.25">
      <c r="E47" s="100"/>
      <c r="F47" s="100"/>
      <c r="G47" s="101"/>
      <c r="H47" s="5"/>
      <c r="I47" s="5"/>
      <c r="J47" s="107"/>
    </row>
    <row r="48" spans="5:10" x14ac:dyDescent="0.25">
      <c r="E48" s="100"/>
      <c r="F48" s="100"/>
      <c r="G48" s="101"/>
      <c r="H48" s="5"/>
      <c r="I48" s="5"/>
      <c r="J48" s="107"/>
    </row>
    <row r="49" spans="5:10" x14ac:dyDescent="0.25">
      <c r="E49" s="100"/>
      <c r="F49" s="100"/>
      <c r="G49" s="101"/>
      <c r="H49" s="5"/>
      <c r="I49" s="5"/>
      <c r="J49" s="107"/>
    </row>
    <row r="50" spans="5:10" x14ac:dyDescent="0.25">
      <c r="E50" s="100"/>
      <c r="F50" s="100"/>
      <c r="G50" s="101"/>
      <c r="H50" s="5"/>
      <c r="I50" s="5"/>
      <c r="J50" s="107"/>
    </row>
    <row r="51" spans="5:10" x14ac:dyDescent="0.25">
      <c r="E51" s="100"/>
      <c r="F51" s="100"/>
      <c r="G51" s="101"/>
      <c r="H51" s="5"/>
      <c r="I51" s="5"/>
      <c r="J51" s="107"/>
    </row>
    <row r="52" spans="5:10" x14ac:dyDescent="0.25">
      <c r="E52" s="100"/>
      <c r="F52" s="100"/>
      <c r="G52" s="101"/>
      <c r="H52" s="5"/>
      <c r="I52" s="5"/>
      <c r="J52" s="107"/>
    </row>
    <row r="53" spans="5:10" x14ac:dyDescent="0.25">
      <c r="E53" s="100"/>
      <c r="F53" s="100"/>
      <c r="G53" s="101"/>
      <c r="H53" s="5"/>
      <c r="I53" s="5"/>
      <c r="J53" s="107"/>
    </row>
    <row r="54" spans="5:10" x14ac:dyDescent="0.25">
      <c r="E54" s="100"/>
      <c r="F54" s="100"/>
      <c r="G54" s="101"/>
      <c r="H54" s="5"/>
      <c r="I54" s="5"/>
      <c r="J54" s="107"/>
    </row>
    <row r="55" spans="5:10" x14ac:dyDescent="0.25">
      <c r="E55" s="100"/>
      <c r="F55" s="100"/>
      <c r="G55" s="101"/>
      <c r="H55" s="5"/>
      <c r="I55" s="5"/>
      <c r="J55" s="107"/>
    </row>
    <row r="56" spans="5:10" x14ac:dyDescent="0.25">
      <c r="E56" s="100"/>
      <c r="F56" s="100"/>
      <c r="G56" s="101"/>
      <c r="H56" s="5"/>
      <c r="I56" s="5"/>
      <c r="J56" s="107"/>
    </row>
    <row r="57" spans="5:10" x14ac:dyDescent="0.25">
      <c r="E57" s="100"/>
      <c r="F57" s="100"/>
      <c r="G57" s="101"/>
      <c r="H57" s="5"/>
      <c r="I57" s="5"/>
      <c r="J57" s="107"/>
    </row>
    <row r="58" spans="5:10" x14ac:dyDescent="0.25">
      <c r="E58" s="100"/>
      <c r="F58" s="100"/>
      <c r="G58" s="101"/>
      <c r="H58" s="5"/>
      <c r="I58" s="5"/>
      <c r="J58" s="107"/>
    </row>
    <row r="59" spans="5:10" x14ac:dyDescent="0.25">
      <c r="E59" s="100"/>
      <c r="F59" s="100"/>
      <c r="G59" s="101"/>
      <c r="H59" s="5"/>
      <c r="I59" s="5"/>
      <c r="J59" s="107"/>
    </row>
    <row r="60" spans="5:10" x14ac:dyDescent="0.25">
      <c r="E60" s="100"/>
      <c r="F60" s="100"/>
      <c r="G60" s="101"/>
      <c r="H60" s="5"/>
      <c r="I60" s="5"/>
      <c r="J60" s="107"/>
    </row>
    <row r="61" spans="5:10" x14ac:dyDescent="0.25">
      <c r="E61" s="100"/>
      <c r="F61" s="100"/>
      <c r="G61" s="101"/>
      <c r="H61" s="5"/>
      <c r="I61" s="5"/>
      <c r="J61" s="107"/>
    </row>
    <row r="62" spans="5:10" x14ac:dyDescent="0.25">
      <c r="E62" s="100"/>
      <c r="F62" s="100"/>
      <c r="G62" s="101"/>
      <c r="H62" s="5"/>
      <c r="I62" s="5"/>
      <c r="J62" s="107"/>
    </row>
    <row r="63" spans="5:10" x14ac:dyDescent="0.25">
      <c r="E63" s="100"/>
      <c r="F63" s="100"/>
      <c r="G63" s="101"/>
      <c r="H63" s="5"/>
      <c r="I63" s="5"/>
      <c r="J63" s="107"/>
    </row>
    <row r="64" spans="5:10" x14ac:dyDescent="0.25">
      <c r="E64" s="100"/>
      <c r="F64" s="100"/>
      <c r="G64" s="101"/>
      <c r="H64" s="5"/>
      <c r="I64" s="5"/>
      <c r="J64" s="107"/>
    </row>
    <row r="65" spans="5:10" x14ac:dyDescent="0.25">
      <c r="E65" s="100"/>
      <c r="F65" s="100"/>
      <c r="G65" s="101"/>
      <c r="H65" s="5"/>
      <c r="I65" s="5"/>
      <c r="J65" s="107"/>
    </row>
    <row r="66" spans="5:10" x14ac:dyDescent="0.25">
      <c r="E66" s="100"/>
      <c r="F66" s="100"/>
      <c r="G66" s="101"/>
      <c r="H66" s="5"/>
      <c r="I66" s="5"/>
      <c r="J66" s="107"/>
    </row>
    <row r="67" spans="5:10" x14ac:dyDescent="0.25">
      <c r="E67" s="100"/>
      <c r="F67" s="100"/>
      <c r="G67" s="101"/>
      <c r="H67" s="5"/>
      <c r="I67" s="5"/>
      <c r="J67" s="107"/>
    </row>
    <row r="68" spans="5:10" x14ac:dyDescent="0.25">
      <c r="E68" s="100"/>
      <c r="F68" s="100"/>
      <c r="G68" s="101"/>
      <c r="H68" s="5"/>
      <c r="I68" s="5"/>
      <c r="J68" s="107"/>
    </row>
    <row r="69" spans="5:10" x14ac:dyDescent="0.25">
      <c r="E69" s="100"/>
      <c r="F69" s="100"/>
      <c r="G69" s="101"/>
      <c r="H69" s="5"/>
      <c r="I69" s="5"/>
      <c r="J69" s="107"/>
    </row>
    <row r="70" spans="5:10" x14ac:dyDescent="0.25">
      <c r="E70" s="100"/>
      <c r="F70" s="100"/>
      <c r="G70" s="101"/>
      <c r="H70" s="5"/>
      <c r="I70" s="5"/>
      <c r="J70" s="107"/>
    </row>
    <row r="71" spans="5:10" x14ac:dyDescent="0.25">
      <c r="E71" s="100"/>
      <c r="F71" s="100"/>
      <c r="G71" s="101"/>
      <c r="H71" s="5"/>
      <c r="I71" s="5"/>
      <c r="J71" s="107"/>
    </row>
    <row r="72" spans="5:10" x14ac:dyDescent="0.25">
      <c r="E72" s="100"/>
      <c r="F72" s="100"/>
      <c r="G72" s="101"/>
      <c r="H72" s="5"/>
      <c r="I72" s="5"/>
      <c r="J72" s="107"/>
    </row>
    <row r="73" spans="5:10" x14ac:dyDescent="0.25">
      <c r="E73" s="100"/>
      <c r="F73" s="100"/>
      <c r="G73" s="101"/>
      <c r="H73" s="5"/>
      <c r="I73" s="5"/>
      <c r="J73" s="107"/>
    </row>
    <row r="74" spans="5:10" x14ac:dyDescent="0.25">
      <c r="E74" s="100"/>
      <c r="F74" s="100"/>
      <c r="G74" s="101"/>
      <c r="H74" s="5"/>
      <c r="I74" s="5"/>
      <c r="J74" s="107"/>
    </row>
    <row r="75" spans="5:10" x14ac:dyDescent="0.25">
      <c r="E75" s="100"/>
      <c r="F75" s="100"/>
      <c r="G75" s="101"/>
      <c r="H75" s="5"/>
      <c r="I75" s="5"/>
      <c r="J75" s="107"/>
    </row>
    <row r="76" spans="5:10" x14ac:dyDescent="0.25">
      <c r="E76" s="100"/>
      <c r="F76" s="100"/>
      <c r="G76" s="101"/>
      <c r="H76" s="5"/>
      <c r="I76" s="5"/>
      <c r="J76" s="107"/>
    </row>
    <row r="77" spans="5:10" x14ac:dyDescent="0.25">
      <c r="E77" s="100"/>
      <c r="F77" s="100"/>
      <c r="G77" s="101"/>
      <c r="H77" s="5"/>
      <c r="I77" s="5"/>
      <c r="J77" s="107"/>
    </row>
    <row r="78" spans="5:10" x14ac:dyDescent="0.25">
      <c r="E78" s="100"/>
      <c r="F78" s="100"/>
      <c r="G78" s="101"/>
      <c r="H78" s="5"/>
      <c r="I78" s="5"/>
      <c r="J78" s="107"/>
    </row>
    <row r="79" spans="5:10" x14ac:dyDescent="0.25">
      <c r="E79" s="100"/>
      <c r="F79" s="100"/>
      <c r="G79" s="101"/>
      <c r="H79" s="5"/>
      <c r="I79" s="5"/>
      <c r="J79" s="107"/>
    </row>
    <row r="80" spans="5:10" x14ac:dyDescent="0.25">
      <c r="E80" s="100"/>
      <c r="F80" s="100"/>
      <c r="G80" s="101"/>
      <c r="H80" s="5"/>
      <c r="I80" s="5"/>
      <c r="J80" s="107"/>
    </row>
    <row r="81" spans="5:10" x14ac:dyDescent="0.25">
      <c r="E81" s="100"/>
      <c r="F81" s="100"/>
      <c r="G81" s="101"/>
      <c r="H81" s="5"/>
      <c r="I81" s="5"/>
      <c r="J81" s="107"/>
    </row>
    <row r="82" spans="5:10" x14ac:dyDescent="0.25">
      <c r="E82" s="100"/>
      <c r="F82" s="100"/>
      <c r="G82" s="101"/>
      <c r="H82" s="5"/>
      <c r="I82" s="5"/>
      <c r="J82" s="107"/>
    </row>
    <row r="83" spans="5:10" x14ac:dyDescent="0.25">
      <c r="E83" s="100"/>
      <c r="F83" s="100"/>
      <c r="G83" s="101"/>
      <c r="H83" s="5"/>
      <c r="I83" s="5"/>
      <c r="J83" s="107"/>
    </row>
    <row r="84" spans="5:10" x14ac:dyDescent="0.25">
      <c r="E84" s="100"/>
      <c r="F84" s="100"/>
      <c r="G84" s="101"/>
      <c r="H84" s="5"/>
      <c r="I84" s="5"/>
      <c r="J84" s="107"/>
    </row>
    <row r="85" spans="5:10" x14ac:dyDescent="0.25">
      <c r="E85" s="100"/>
      <c r="F85" s="100"/>
      <c r="G85" s="101"/>
      <c r="H85" s="5"/>
      <c r="I85" s="5"/>
      <c r="J85" s="107"/>
    </row>
    <row r="86" spans="5:10" x14ac:dyDescent="0.25">
      <c r="E86" s="100"/>
      <c r="F86" s="100"/>
      <c r="G86" s="101"/>
      <c r="H86" s="5"/>
      <c r="I86" s="5"/>
      <c r="J86" s="107"/>
    </row>
    <row r="87" spans="5:10" x14ac:dyDescent="0.25">
      <c r="E87" s="100"/>
      <c r="F87" s="100"/>
      <c r="G87" s="101"/>
      <c r="H87" s="5"/>
      <c r="I87" s="5"/>
      <c r="J87" s="107"/>
    </row>
    <row r="88" spans="5:10" x14ac:dyDescent="0.25">
      <c r="E88" s="100"/>
      <c r="F88" s="100"/>
      <c r="G88" s="101"/>
      <c r="H88" s="5"/>
      <c r="I88" s="5"/>
      <c r="J88" s="107"/>
    </row>
    <row r="89" spans="5:10" x14ac:dyDescent="0.25">
      <c r="E89" s="100"/>
      <c r="F89" s="100"/>
      <c r="G89" s="101"/>
      <c r="H89" s="5"/>
      <c r="I89" s="5"/>
      <c r="J89" s="107"/>
    </row>
    <row r="90" spans="5:10" x14ac:dyDescent="0.25">
      <c r="E90" s="100"/>
      <c r="F90" s="100"/>
      <c r="G90" s="101"/>
      <c r="H90" s="5"/>
      <c r="I90" s="5"/>
      <c r="J90" s="107"/>
    </row>
    <row r="91" spans="5:10" x14ac:dyDescent="0.25">
      <c r="E91" s="100"/>
      <c r="F91" s="100"/>
      <c r="G91" s="101"/>
      <c r="H91" s="5"/>
      <c r="I91" s="5"/>
      <c r="J91" s="107"/>
    </row>
    <row r="92" spans="5:10" x14ac:dyDescent="0.25">
      <c r="E92" s="100"/>
      <c r="F92" s="100"/>
      <c r="G92" s="101"/>
      <c r="H92" s="5"/>
      <c r="I92" s="5"/>
      <c r="J92" s="107"/>
    </row>
    <row r="93" spans="5:10" x14ac:dyDescent="0.25">
      <c r="E93" s="100"/>
      <c r="F93" s="100"/>
      <c r="G93" s="101"/>
      <c r="H93" s="5"/>
      <c r="I93" s="5"/>
      <c r="J93" s="107"/>
    </row>
    <row r="94" spans="5:10" x14ac:dyDescent="0.25">
      <c r="E94" s="100"/>
      <c r="F94" s="100"/>
      <c r="G94" s="101"/>
      <c r="H94" s="5"/>
      <c r="I94" s="5"/>
      <c r="J94" s="107"/>
    </row>
    <row r="95" spans="5:10" x14ac:dyDescent="0.25">
      <c r="E95" s="100"/>
      <c r="F95" s="100"/>
      <c r="G95" s="101"/>
      <c r="H95" s="5"/>
      <c r="I95" s="5"/>
      <c r="J95" s="107"/>
    </row>
    <row r="96" spans="5:10" x14ac:dyDescent="0.25">
      <c r="E96" s="100"/>
      <c r="F96" s="100"/>
      <c r="G96" s="101"/>
      <c r="H96" s="5"/>
      <c r="I96" s="5"/>
      <c r="J96" s="107"/>
    </row>
    <row r="97" spans="5:10" x14ac:dyDescent="0.25">
      <c r="E97" s="100"/>
      <c r="F97" s="100"/>
      <c r="G97" s="101"/>
      <c r="H97" s="5"/>
      <c r="I97" s="5"/>
      <c r="J97" s="107"/>
    </row>
    <row r="98" spans="5:10" x14ac:dyDescent="0.25">
      <c r="E98" s="100"/>
      <c r="F98" s="100"/>
      <c r="G98" s="101"/>
      <c r="H98" s="5"/>
      <c r="I98" s="5"/>
      <c r="J98" s="107"/>
    </row>
    <row r="99" spans="5:10" x14ac:dyDescent="0.25">
      <c r="E99" s="100"/>
      <c r="F99" s="100"/>
      <c r="G99" s="101"/>
      <c r="H99" s="5"/>
      <c r="I99" s="5"/>
      <c r="J99" s="107"/>
    </row>
    <row r="100" spans="5:10" x14ac:dyDescent="0.25">
      <c r="E100" s="100"/>
      <c r="F100" s="100"/>
      <c r="G100" s="101"/>
      <c r="H100" s="5"/>
      <c r="I100" s="5"/>
      <c r="J100" s="107"/>
    </row>
    <row r="101" spans="5:10" x14ac:dyDescent="0.25">
      <c r="E101" s="100"/>
      <c r="F101" s="100"/>
      <c r="G101" s="101"/>
      <c r="H101" s="5"/>
      <c r="I101" s="5"/>
      <c r="J101" s="107"/>
    </row>
    <row r="102" spans="5:10" x14ac:dyDescent="0.25">
      <c r="E102" s="100"/>
      <c r="F102" s="100"/>
      <c r="G102" s="101"/>
      <c r="H102" s="5"/>
      <c r="I102" s="5"/>
      <c r="J102" s="107"/>
    </row>
    <row r="103" spans="5:10" x14ac:dyDescent="0.25">
      <c r="E103" s="100"/>
      <c r="F103" s="100"/>
      <c r="G103" s="101"/>
      <c r="H103" s="5"/>
      <c r="I103" s="5"/>
      <c r="J103" s="107"/>
    </row>
    <row r="104" spans="5:10" x14ac:dyDescent="0.25">
      <c r="E104" s="100"/>
      <c r="F104" s="100"/>
      <c r="G104" s="101"/>
      <c r="H104" s="5"/>
      <c r="I104" s="5"/>
      <c r="J104" s="107"/>
    </row>
    <row r="105" spans="5:10" x14ac:dyDescent="0.25">
      <c r="E105" s="100"/>
      <c r="F105" s="100"/>
      <c r="G105" s="101"/>
      <c r="H105" s="5"/>
      <c r="I105" s="5"/>
      <c r="J105" s="107"/>
    </row>
    <row r="106" spans="5:10" x14ac:dyDescent="0.25">
      <c r="E106" s="100"/>
      <c r="F106" s="100"/>
      <c r="G106" s="101"/>
      <c r="H106" s="5"/>
      <c r="I106" s="5"/>
      <c r="J106" s="107"/>
    </row>
    <row r="107" spans="5:10" x14ac:dyDescent="0.25">
      <c r="E107" s="100"/>
      <c r="F107" s="100"/>
      <c r="G107" s="101"/>
      <c r="H107" s="5"/>
      <c r="I107" s="5"/>
      <c r="J107" s="107"/>
    </row>
    <row r="108" spans="5:10" x14ac:dyDescent="0.25">
      <c r="E108" s="100"/>
      <c r="F108" s="100"/>
      <c r="G108" s="101"/>
      <c r="H108" s="5"/>
      <c r="I108" s="5"/>
      <c r="J108" s="107"/>
    </row>
    <row r="109" spans="5:10" x14ac:dyDescent="0.25">
      <c r="E109" s="100"/>
      <c r="F109" s="100"/>
      <c r="G109" s="101"/>
      <c r="H109" s="5"/>
      <c r="I109" s="5"/>
      <c r="J109" s="107"/>
    </row>
    <row r="110" spans="5:10" x14ac:dyDescent="0.25">
      <c r="E110" s="100"/>
      <c r="F110" s="100"/>
      <c r="G110" s="101"/>
      <c r="H110" s="5"/>
      <c r="I110" s="5"/>
      <c r="J110" s="107"/>
    </row>
    <row r="111" spans="5:10" x14ac:dyDescent="0.25">
      <c r="E111" s="100"/>
      <c r="F111" s="100"/>
      <c r="G111" s="101"/>
      <c r="H111" s="5"/>
      <c r="I111" s="5"/>
      <c r="J111" s="107"/>
    </row>
    <row r="112" spans="5:10" x14ac:dyDescent="0.25">
      <c r="E112" s="100"/>
      <c r="F112" s="100"/>
      <c r="G112" s="101"/>
      <c r="H112" s="5"/>
      <c r="I112" s="5"/>
      <c r="J112" s="107"/>
    </row>
    <row r="113" spans="5:10" x14ac:dyDescent="0.25">
      <c r="E113" s="100"/>
      <c r="F113" s="100"/>
      <c r="G113" s="101"/>
      <c r="H113" s="5"/>
      <c r="I113" s="5"/>
      <c r="J113" s="107"/>
    </row>
    <row r="114" spans="5:10" x14ac:dyDescent="0.25">
      <c r="E114" s="100"/>
      <c r="F114" s="100"/>
      <c r="G114" s="101"/>
      <c r="H114" s="5"/>
      <c r="I114" s="5"/>
      <c r="J114" s="107"/>
    </row>
    <row r="115" spans="5:10" x14ac:dyDescent="0.25">
      <c r="E115" s="100"/>
      <c r="F115" s="100"/>
      <c r="G115" s="101"/>
      <c r="H115" s="5"/>
      <c r="I115" s="5"/>
      <c r="J115" s="107"/>
    </row>
    <row r="116" spans="5:10" x14ac:dyDescent="0.25">
      <c r="E116" s="100"/>
      <c r="F116" s="100"/>
      <c r="G116" s="101"/>
      <c r="H116" s="5"/>
      <c r="I116" s="5"/>
      <c r="J116" s="107"/>
    </row>
    <row r="117" spans="5:10" x14ac:dyDescent="0.25">
      <c r="E117" s="100"/>
      <c r="F117" s="100"/>
      <c r="G117" s="101"/>
      <c r="H117" s="5"/>
      <c r="I117" s="5"/>
      <c r="J117" s="107"/>
    </row>
    <row r="118" spans="5:10" x14ac:dyDescent="0.25">
      <c r="E118" s="100"/>
      <c r="F118" s="100"/>
      <c r="G118" s="101"/>
      <c r="H118" s="5"/>
      <c r="I118" s="5"/>
      <c r="J118" s="107"/>
    </row>
    <row r="119" spans="5:10" x14ac:dyDescent="0.25">
      <c r="E119" s="100"/>
      <c r="F119" s="100"/>
      <c r="G119" s="101"/>
      <c r="H119" s="5"/>
      <c r="I119" s="5"/>
      <c r="J119" s="107"/>
    </row>
    <row r="120" spans="5:10" x14ac:dyDescent="0.25">
      <c r="E120" s="100"/>
      <c r="F120" s="100"/>
      <c r="G120" s="101"/>
      <c r="H120" s="5"/>
      <c r="I120" s="5"/>
      <c r="J120" s="107"/>
    </row>
    <row r="121" spans="5:10" x14ac:dyDescent="0.25">
      <c r="E121" s="100"/>
      <c r="F121" s="100"/>
      <c r="G121" s="101"/>
      <c r="H121" s="5"/>
      <c r="I121" s="5"/>
      <c r="J121" s="107"/>
    </row>
    <row r="122" spans="5:10" x14ac:dyDescent="0.25">
      <c r="E122" s="100"/>
      <c r="F122" s="100"/>
      <c r="G122" s="101"/>
      <c r="H122" s="5"/>
      <c r="I122" s="5"/>
      <c r="J122" s="107"/>
    </row>
    <row r="123" spans="5:10" x14ac:dyDescent="0.25">
      <c r="E123" s="100"/>
      <c r="F123" s="100"/>
      <c r="G123" s="101"/>
      <c r="H123" s="5"/>
      <c r="I123" s="5"/>
      <c r="J123" s="107"/>
    </row>
    <row r="124" spans="5:10" x14ac:dyDescent="0.25">
      <c r="E124" s="100"/>
      <c r="F124" s="100"/>
      <c r="G124" s="101"/>
      <c r="H124" s="5"/>
      <c r="I124" s="5"/>
      <c r="J124" s="107"/>
    </row>
    <row r="125" spans="5:10" x14ac:dyDescent="0.25">
      <c r="E125" s="100"/>
      <c r="F125" s="100"/>
      <c r="G125" s="101"/>
      <c r="H125" s="5"/>
      <c r="I125" s="5"/>
      <c r="J125" s="107"/>
    </row>
    <row r="126" spans="5:10" x14ac:dyDescent="0.25">
      <c r="E126" s="100"/>
      <c r="F126" s="100"/>
      <c r="G126" s="101"/>
      <c r="H126" s="5"/>
      <c r="I126" s="5"/>
      <c r="J126" s="107"/>
    </row>
    <row r="127" spans="5:10" x14ac:dyDescent="0.25">
      <c r="E127" s="100"/>
      <c r="F127" s="100"/>
      <c r="G127" s="101"/>
      <c r="H127" s="5"/>
      <c r="I127" s="5"/>
      <c r="J127" s="107"/>
    </row>
    <row r="128" spans="5:10" x14ac:dyDescent="0.25">
      <c r="E128" s="100"/>
      <c r="F128" s="100"/>
      <c r="G128" s="101"/>
      <c r="H128" s="5"/>
      <c r="I128" s="5"/>
      <c r="J128" s="107"/>
    </row>
    <row r="129" spans="5:10" x14ac:dyDescent="0.25">
      <c r="E129" s="100"/>
      <c r="F129" s="100"/>
      <c r="G129" s="101"/>
      <c r="H129" s="5"/>
      <c r="I129" s="5"/>
      <c r="J129" s="107"/>
    </row>
    <row r="130" spans="5:10" x14ac:dyDescent="0.25">
      <c r="E130" s="100"/>
      <c r="F130" s="100"/>
      <c r="G130" s="101"/>
      <c r="H130" s="5"/>
      <c r="I130" s="5"/>
      <c r="J130" s="107"/>
    </row>
    <row r="131" spans="5:10" x14ac:dyDescent="0.25">
      <c r="E131" s="100"/>
      <c r="F131" s="100"/>
      <c r="G131" s="101"/>
      <c r="H131" s="5"/>
      <c r="I131" s="5"/>
      <c r="J131" s="107"/>
    </row>
    <row r="132" spans="5:10" x14ac:dyDescent="0.25">
      <c r="E132" s="100"/>
      <c r="F132" s="100"/>
      <c r="G132" s="101"/>
      <c r="H132" s="5"/>
      <c r="I132" s="5"/>
      <c r="J132" s="107"/>
    </row>
    <row r="133" spans="5:10" x14ac:dyDescent="0.25">
      <c r="E133" s="100"/>
      <c r="F133" s="100"/>
      <c r="G133" s="101"/>
      <c r="H133" s="5"/>
      <c r="I133" s="5"/>
      <c r="J133" s="107"/>
    </row>
    <row r="134" spans="5:10" x14ac:dyDescent="0.25">
      <c r="E134" s="100"/>
      <c r="F134" s="100"/>
      <c r="G134" s="101"/>
      <c r="H134" s="5"/>
      <c r="I134" s="5"/>
      <c r="J134" s="107"/>
    </row>
    <row r="135" spans="5:10" x14ac:dyDescent="0.25">
      <c r="E135" s="100"/>
      <c r="F135" s="100"/>
      <c r="G135" s="101"/>
      <c r="H135" s="5"/>
      <c r="I135" s="5"/>
      <c r="J135" s="107"/>
    </row>
    <row r="136" spans="5:10" x14ac:dyDescent="0.25">
      <c r="E136" s="100"/>
      <c r="F136" s="100"/>
      <c r="G136" s="101"/>
      <c r="H136" s="5"/>
      <c r="I136" s="5"/>
      <c r="J136" s="107"/>
    </row>
    <row r="137" spans="5:10" x14ac:dyDescent="0.25">
      <c r="E137" s="100"/>
      <c r="F137" s="100"/>
      <c r="G137" s="101"/>
      <c r="H137" s="5"/>
      <c r="I137" s="5"/>
      <c r="J137" s="107"/>
    </row>
    <row r="138" spans="5:10" x14ac:dyDescent="0.25">
      <c r="E138" s="100"/>
      <c r="F138" s="100"/>
      <c r="G138" s="101"/>
      <c r="H138" s="5"/>
      <c r="I138" s="5"/>
      <c r="J138" s="107"/>
    </row>
    <row r="139" spans="5:10" x14ac:dyDescent="0.25">
      <c r="E139" s="100"/>
      <c r="F139" s="100"/>
      <c r="G139" s="101"/>
      <c r="H139" s="5"/>
      <c r="I139" s="5"/>
      <c r="J139" s="107"/>
    </row>
    <row r="140" spans="5:10" x14ac:dyDescent="0.25">
      <c r="E140" s="100"/>
      <c r="F140" s="100"/>
      <c r="G140" s="101"/>
      <c r="H140" s="5"/>
      <c r="I140" s="5"/>
      <c r="J140" s="107"/>
    </row>
    <row r="141" spans="5:10" x14ac:dyDescent="0.25">
      <c r="E141" s="100"/>
      <c r="F141" s="100"/>
      <c r="G141" s="101"/>
      <c r="H141" s="5"/>
      <c r="I141" s="5"/>
      <c r="J141" s="107"/>
    </row>
    <row r="142" spans="5:10" x14ac:dyDescent="0.25">
      <c r="E142" s="100"/>
      <c r="F142" s="100"/>
      <c r="G142" s="101"/>
      <c r="H142" s="5"/>
      <c r="I142" s="5"/>
      <c r="J142" s="107"/>
    </row>
    <row r="143" spans="5:10" x14ac:dyDescent="0.25">
      <c r="E143" s="100"/>
      <c r="F143" s="100"/>
      <c r="G143" s="101"/>
      <c r="H143" s="5"/>
      <c r="I143" s="5"/>
      <c r="J143" s="107"/>
    </row>
    <row r="144" spans="5:10" x14ac:dyDescent="0.25">
      <c r="E144" s="100"/>
      <c r="F144" s="100"/>
      <c r="G144" s="101"/>
      <c r="H144" s="5"/>
      <c r="I144" s="5"/>
      <c r="J144" s="107"/>
    </row>
    <row r="145" spans="5:10" x14ac:dyDescent="0.25">
      <c r="E145" s="100"/>
      <c r="F145" s="100"/>
      <c r="G145" s="101"/>
      <c r="H145" s="5"/>
      <c r="I145" s="5"/>
      <c r="J145" s="107"/>
    </row>
    <row r="146" spans="5:10" x14ac:dyDescent="0.25">
      <c r="E146" s="100"/>
      <c r="F146" s="100"/>
      <c r="G146" s="101"/>
      <c r="H146" s="5"/>
      <c r="I146" s="5"/>
      <c r="J146" s="107"/>
    </row>
    <row r="147" spans="5:10" x14ac:dyDescent="0.25">
      <c r="E147" s="100"/>
      <c r="F147" s="100"/>
      <c r="G147" s="101"/>
      <c r="H147" s="5"/>
      <c r="I147" s="5"/>
      <c r="J147" s="107"/>
    </row>
    <row r="148" spans="5:10" x14ac:dyDescent="0.25">
      <c r="E148" s="100"/>
      <c r="F148" s="100"/>
      <c r="G148" s="101"/>
      <c r="H148" s="5"/>
      <c r="I148" s="5"/>
      <c r="J148" s="107"/>
    </row>
    <row r="149" spans="5:10" x14ac:dyDescent="0.25">
      <c r="E149" s="100"/>
      <c r="F149" s="100"/>
      <c r="G149" s="101"/>
      <c r="H149" s="5"/>
      <c r="I149" s="5"/>
      <c r="J149" s="107"/>
    </row>
    <row r="150" spans="5:10" x14ac:dyDescent="0.25">
      <c r="E150" s="100"/>
      <c r="F150" s="100"/>
      <c r="G150" s="101"/>
      <c r="H150" s="5"/>
      <c r="I150" s="5"/>
      <c r="J150" s="107"/>
    </row>
    <row r="151" spans="5:10" x14ac:dyDescent="0.25">
      <c r="E151" s="100"/>
      <c r="F151" s="100"/>
      <c r="G151" s="101"/>
      <c r="H151" s="5"/>
      <c r="I151" s="5"/>
      <c r="J151" s="107"/>
    </row>
    <row r="152" spans="5:10" x14ac:dyDescent="0.25">
      <c r="E152" s="100"/>
      <c r="F152" s="100"/>
      <c r="G152" s="101"/>
      <c r="H152" s="5"/>
      <c r="I152" s="5"/>
      <c r="J152" s="107"/>
    </row>
    <row r="153" spans="5:10" x14ac:dyDescent="0.25">
      <c r="E153" s="100"/>
      <c r="F153" s="100"/>
      <c r="G153" s="101"/>
      <c r="H153" s="5"/>
      <c r="I153" s="5"/>
      <c r="J153" s="107"/>
    </row>
    <row r="154" spans="5:10" x14ac:dyDescent="0.25">
      <c r="E154" s="100"/>
      <c r="F154" s="100"/>
      <c r="G154" s="101"/>
      <c r="H154" s="5"/>
      <c r="I154" s="5"/>
      <c r="J154" s="107"/>
    </row>
    <row r="155" spans="5:10" x14ac:dyDescent="0.25">
      <c r="E155" s="100"/>
      <c r="F155" s="100"/>
      <c r="G155" s="101"/>
      <c r="H155" s="5"/>
      <c r="I155" s="5"/>
      <c r="J155" s="107"/>
    </row>
    <row r="156" spans="5:10" x14ac:dyDescent="0.25">
      <c r="E156" s="100"/>
      <c r="F156" s="100"/>
      <c r="G156" s="101"/>
      <c r="H156" s="5"/>
      <c r="I156" s="5"/>
      <c r="J156" s="107"/>
    </row>
    <row r="157" spans="5:10" x14ac:dyDescent="0.25">
      <c r="E157" s="100"/>
      <c r="F157" s="100"/>
      <c r="G157" s="101"/>
      <c r="H157" s="5"/>
      <c r="I157" s="5"/>
      <c r="J157" s="107"/>
    </row>
    <row r="158" spans="5:10" x14ac:dyDescent="0.25">
      <c r="E158" s="100"/>
      <c r="F158" s="100"/>
      <c r="G158" s="101"/>
      <c r="H158" s="5"/>
      <c r="I158" s="5"/>
      <c r="J158" s="107"/>
    </row>
    <row r="159" spans="5:10" x14ac:dyDescent="0.25">
      <c r="E159" s="100"/>
      <c r="F159" s="100"/>
      <c r="G159" s="101"/>
      <c r="H159" s="5"/>
      <c r="I159" s="5"/>
      <c r="J159" s="107"/>
    </row>
    <row r="160" spans="5:10" x14ac:dyDescent="0.25">
      <c r="E160" s="100"/>
      <c r="F160" s="100"/>
      <c r="G160" s="101"/>
      <c r="H160" s="5"/>
      <c r="I160" s="5"/>
      <c r="J160" s="107"/>
    </row>
    <row r="161" spans="5:10" x14ac:dyDescent="0.25">
      <c r="E161" s="100"/>
      <c r="F161" s="100"/>
      <c r="G161" s="101"/>
      <c r="H161" s="5"/>
      <c r="I161" s="5"/>
      <c r="J161" s="107"/>
    </row>
    <row r="162" spans="5:10" x14ac:dyDescent="0.25">
      <c r="E162" s="100"/>
      <c r="F162" s="100"/>
      <c r="G162" s="101"/>
      <c r="H162" s="5"/>
      <c r="I162" s="5"/>
      <c r="J162" s="107"/>
    </row>
    <row r="163" spans="5:10" x14ac:dyDescent="0.25">
      <c r="E163" s="100"/>
      <c r="F163" s="100"/>
      <c r="G163" s="101"/>
      <c r="H163" s="5"/>
      <c r="I163" s="5"/>
      <c r="J163" s="107"/>
    </row>
    <row r="164" spans="5:10" x14ac:dyDescent="0.25">
      <c r="E164" s="100"/>
      <c r="F164" s="100"/>
      <c r="G164" s="101"/>
      <c r="H164" s="5"/>
      <c r="I164" s="5"/>
      <c r="J164" s="107"/>
    </row>
    <row r="165" spans="5:10" x14ac:dyDescent="0.25">
      <c r="E165" s="100"/>
      <c r="F165" s="100"/>
      <c r="G165" s="101"/>
      <c r="H165" s="5"/>
      <c r="I165" s="5"/>
      <c r="J165" s="107"/>
    </row>
    <row r="166" spans="5:10" x14ac:dyDescent="0.25">
      <c r="E166" s="100"/>
      <c r="F166" s="100"/>
      <c r="G166" s="101"/>
      <c r="H166" s="5"/>
      <c r="I166" s="5"/>
      <c r="J166" s="107"/>
    </row>
    <row r="167" spans="5:10" x14ac:dyDescent="0.25">
      <c r="E167" s="100"/>
      <c r="F167" s="100"/>
      <c r="G167" s="101"/>
      <c r="H167" s="5"/>
      <c r="I167" s="5"/>
      <c r="J167" s="107"/>
    </row>
    <row r="168" spans="5:10" x14ac:dyDescent="0.25">
      <c r="E168" s="100"/>
      <c r="F168" s="100"/>
      <c r="G168" s="101"/>
      <c r="H168" s="5"/>
      <c r="I168" s="5"/>
      <c r="J168" s="107"/>
    </row>
    <row r="169" spans="5:10" x14ac:dyDescent="0.25">
      <c r="E169" s="100"/>
      <c r="F169" s="100"/>
      <c r="G169" s="101"/>
      <c r="H169" s="5"/>
      <c r="I169" s="5"/>
      <c r="J169" s="107"/>
    </row>
    <row r="170" spans="5:10" x14ac:dyDescent="0.25">
      <c r="E170" s="100"/>
      <c r="F170" s="100"/>
      <c r="G170" s="101"/>
      <c r="H170" s="5"/>
      <c r="I170" s="5"/>
      <c r="J170" s="107"/>
    </row>
    <row r="171" spans="5:10" x14ac:dyDescent="0.25">
      <c r="E171" s="100"/>
      <c r="F171" s="100"/>
      <c r="G171" s="101"/>
      <c r="H171" s="5"/>
      <c r="I171" s="5"/>
      <c r="J171" s="107"/>
    </row>
    <row r="172" spans="5:10" x14ac:dyDescent="0.25">
      <c r="E172" s="100"/>
      <c r="F172" s="100"/>
      <c r="G172" s="101"/>
      <c r="H172" s="5"/>
      <c r="I172" s="5"/>
      <c r="J172" s="107"/>
    </row>
    <row r="173" spans="5:10" x14ac:dyDescent="0.25">
      <c r="E173" s="100"/>
      <c r="F173" s="100"/>
      <c r="G173" s="101"/>
      <c r="H173" s="5"/>
      <c r="I173" s="5"/>
      <c r="J173" s="107"/>
    </row>
    <row r="174" spans="5:10" x14ac:dyDescent="0.25">
      <c r="E174" s="100"/>
      <c r="F174" s="100"/>
      <c r="G174" s="101"/>
      <c r="H174" s="5"/>
      <c r="I174" s="5"/>
      <c r="J174" s="107"/>
    </row>
    <row r="175" spans="5:10" x14ac:dyDescent="0.25">
      <c r="E175" s="100"/>
      <c r="F175" s="100"/>
      <c r="G175" s="101"/>
      <c r="H175" s="5"/>
      <c r="I175" s="5"/>
      <c r="J175" s="107"/>
    </row>
    <row r="176" spans="5:10" x14ac:dyDescent="0.25">
      <c r="E176" s="100"/>
      <c r="F176" s="100"/>
      <c r="G176" s="101"/>
      <c r="H176" s="5"/>
      <c r="I176" s="5"/>
      <c r="J176" s="107"/>
    </row>
    <row r="177" spans="5:10" x14ac:dyDescent="0.25">
      <c r="E177" s="100"/>
      <c r="F177" s="100"/>
      <c r="G177" s="101"/>
      <c r="H177" s="5"/>
      <c r="I177" s="5"/>
      <c r="J177" s="107"/>
    </row>
    <row r="178" spans="5:10" x14ac:dyDescent="0.25">
      <c r="E178" s="100"/>
      <c r="F178" s="100"/>
      <c r="G178" s="101"/>
      <c r="H178" s="5"/>
      <c r="I178" s="5"/>
      <c r="J178" s="107"/>
    </row>
    <row r="179" spans="5:10" x14ac:dyDescent="0.25">
      <c r="E179" s="100"/>
      <c r="F179" s="100"/>
      <c r="G179" s="101"/>
      <c r="H179" s="5"/>
      <c r="I179" s="5"/>
      <c r="J179" s="107"/>
    </row>
    <row r="180" spans="5:10" x14ac:dyDescent="0.25">
      <c r="E180" s="100"/>
      <c r="F180" s="100"/>
      <c r="G180" s="101"/>
      <c r="H180" s="5"/>
      <c r="I180" s="5"/>
      <c r="J180" s="107"/>
    </row>
    <row r="181" spans="5:10" x14ac:dyDescent="0.25">
      <c r="E181" s="100"/>
      <c r="F181" s="100"/>
      <c r="G181" s="101"/>
      <c r="H181" s="5"/>
      <c r="I181" s="5"/>
      <c r="J181" s="107"/>
    </row>
    <row r="182" spans="5:10" x14ac:dyDescent="0.25">
      <c r="E182" s="100"/>
      <c r="F182" s="100"/>
      <c r="G182" s="101"/>
      <c r="H182" s="5"/>
      <c r="I182" s="5"/>
      <c r="J182" s="107"/>
    </row>
    <row r="183" spans="5:10" x14ac:dyDescent="0.25">
      <c r="E183" s="100"/>
      <c r="F183" s="100"/>
      <c r="G183" s="101"/>
      <c r="H183" s="5"/>
      <c r="I183" s="5"/>
      <c r="J183" s="107"/>
    </row>
    <row r="184" spans="5:10" x14ac:dyDescent="0.25">
      <c r="E184" s="100"/>
      <c r="F184" s="100"/>
      <c r="G184" s="101"/>
      <c r="H184" s="5"/>
      <c r="I184" s="5"/>
      <c r="J184" s="107"/>
    </row>
    <row r="185" spans="5:10" x14ac:dyDescent="0.25">
      <c r="E185" s="100"/>
      <c r="F185" s="100"/>
      <c r="G185" s="101"/>
      <c r="H185" s="5"/>
      <c r="I185" s="5"/>
      <c r="J185" s="107"/>
    </row>
    <row r="186" spans="5:10" x14ac:dyDescent="0.25">
      <c r="E186" s="100"/>
      <c r="F186" s="100"/>
      <c r="G186" s="101"/>
      <c r="H186" s="5"/>
      <c r="I186" s="5"/>
      <c r="J186" s="107"/>
    </row>
    <row r="187" spans="5:10" x14ac:dyDescent="0.25">
      <c r="E187" s="100"/>
      <c r="F187" s="100"/>
      <c r="G187" s="101"/>
      <c r="H187" s="5"/>
      <c r="I187" s="5"/>
      <c r="J187" s="107"/>
    </row>
    <row r="188" spans="5:10" x14ac:dyDescent="0.25">
      <c r="E188" s="100"/>
      <c r="F188" s="100"/>
      <c r="G188" s="101"/>
      <c r="H188" s="5"/>
      <c r="I188" s="5"/>
      <c r="J188" s="107"/>
    </row>
    <row r="189" spans="5:10" x14ac:dyDescent="0.25">
      <c r="E189" s="100"/>
      <c r="F189" s="100"/>
      <c r="G189" s="101"/>
      <c r="H189" s="5"/>
      <c r="I189" s="5"/>
      <c r="J189" s="107"/>
    </row>
    <row r="190" spans="5:10" x14ac:dyDescent="0.25">
      <c r="E190" s="100"/>
      <c r="F190" s="100"/>
      <c r="G190" s="101"/>
      <c r="H190" s="5"/>
      <c r="I190" s="5"/>
      <c r="J190" s="107"/>
    </row>
    <row r="191" spans="5:10" x14ac:dyDescent="0.25">
      <c r="E191" s="100"/>
      <c r="F191" s="100"/>
      <c r="G191" s="101"/>
      <c r="H191" s="5"/>
      <c r="I191" s="5"/>
      <c r="J191" s="107"/>
    </row>
    <row r="192" spans="5:10" x14ac:dyDescent="0.25">
      <c r="E192" s="100"/>
      <c r="F192" s="100"/>
      <c r="G192" s="101"/>
      <c r="H192" s="5"/>
      <c r="I192" s="5"/>
      <c r="J192" s="107"/>
    </row>
    <row r="193" spans="5:10" x14ac:dyDescent="0.25">
      <c r="E193" s="100"/>
      <c r="F193" s="100"/>
      <c r="G193" s="101"/>
      <c r="H193" s="5"/>
      <c r="I193" s="5"/>
      <c r="J193" s="107"/>
    </row>
    <row r="194" spans="5:10" x14ac:dyDescent="0.25">
      <c r="E194" s="100"/>
      <c r="F194" s="100"/>
      <c r="G194" s="101"/>
      <c r="H194" s="5"/>
      <c r="I194" s="5"/>
      <c r="J194" s="107"/>
    </row>
    <row r="195" spans="5:10" x14ac:dyDescent="0.25">
      <c r="E195" s="100"/>
      <c r="F195" s="100"/>
      <c r="G195" s="101"/>
      <c r="H195" s="5"/>
      <c r="I195" s="5"/>
      <c r="J195" s="107"/>
    </row>
    <row r="196" spans="5:10" x14ac:dyDescent="0.25">
      <c r="E196" s="100"/>
      <c r="F196" s="100"/>
      <c r="G196" s="101"/>
      <c r="H196" s="5"/>
      <c r="I196" s="5"/>
      <c r="J196" s="107"/>
    </row>
    <row r="197" spans="5:10" x14ac:dyDescent="0.25">
      <c r="E197" s="100"/>
      <c r="F197" s="100"/>
      <c r="G197" s="101"/>
      <c r="H197" s="5"/>
      <c r="I197" s="5"/>
      <c r="J197" s="107"/>
    </row>
    <row r="198" spans="5:10" x14ac:dyDescent="0.25">
      <c r="E198" s="100"/>
      <c r="F198" s="100"/>
      <c r="G198" s="101"/>
      <c r="H198" s="5"/>
      <c r="I198" s="5"/>
      <c r="J198" s="107"/>
    </row>
    <row r="199" spans="5:10" x14ac:dyDescent="0.25">
      <c r="E199" s="100"/>
      <c r="F199" s="100"/>
      <c r="G199" s="101"/>
      <c r="H199" s="5"/>
      <c r="I199" s="5"/>
      <c r="J199" s="107"/>
    </row>
    <row r="200" spans="5:10" x14ac:dyDescent="0.25">
      <c r="E200" s="100"/>
      <c r="F200" s="100"/>
      <c r="G200" s="101"/>
      <c r="H200" s="5"/>
      <c r="I200" s="5"/>
      <c r="J200" s="107"/>
    </row>
    <row r="201" spans="5:10" x14ac:dyDescent="0.25">
      <c r="E201" s="100"/>
      <c r="F201" s="100"/>
      <c r="G201" s="101"/>
      <c r="H201" s="5"/>
      <c r="I201" s="5"/>
      <c r="J201" s="107"/>
    </row>
    <row r="202" spans="5:10" x14ac:dyDescent="0.25">
      <c r="E202" s="100"/>
      <c r="F202" s="100"/>
      <c r="G202" s="101"/>
      <c r="H202" s="5"/>
      <c r="I202" s="5"/>
      <c r="J202" s="107"/>
    </row>
    <row r="203" spans="5:10" x14ac:dyDescent="0.25">
      <c r="E203" s="100"/>
      <c r="F203" s="100"/>
      <c r="G203" s="101"/>
      <c r="H203" s="5"/>
      <c r="I203" s="5"/>
      <c r="J203" s="107"/>
    </row>
    <row r="204" spans="5:10" x14ac:dyDescent="0.25">
      <c r="E204" s="100"/>
      <c r="F204" s="100"/>
      <c r="G204" s="101"/>
      <c r="H204" s="5"/>
      <c r="I204" s="5"/>
      <c r="J204" s="107"/>
    </row>
    <row r="205" spans="5:10" x14ac:dyDescent="0.25">
      <c r="E205" s="100"/>
      <c r="F205" s="100"/>
      <c r="G205" s="101"/>
      <c r="H205" s="5"/>
      <c r="I205" s="5"/>
      <c r="J205" s="107"/>
    </row>
    <row r="206" spans="5:10" x14ac:dyDescent="0.25">
      <c r="E206" s="100"/>
      <c r="F206" s="100"/>
      <c r="G206" s="101"/>
      <c r="H206" s="5"/>
      <c r="I206" s="5"/>
      <c r="J206" s="107"/>
    </row>
    <row r="207" spans="5:10" x14ac:dyDescent="0.25">
      <c r="E207" s="100"/>
      <c r="F207" s="100"/>
      <c r="G207" s="101"/>
      <c r="H207" s="5"/>
      <c r="I207" s="5"/>
      <c r="J207" s="107"/>
    </row>
    <row r="208" spans="5:10" x14ac:dyDescent="0.25">
      <c r="E208" s="100"/>
      <c r="F208" s="100"/>
      <c r="G208" s="101"/>
      <c r="H208" s="5"/>
      <c r="I208" s="5"/>
      <c r="J208" s="107"/>
    </row>
    <row r="209" spans="5:10" x14ac:dyDescent="0.25">
      <c r="E209" s="100"/>
      <c r="F209" s="100"/>
      <c r="G209" s="101"/>
      <c r="H209" s="5"/>
      <c r="I209" s="5"/>
      <c r="J209" s="107"/>
    </row>
    <row r="210" spans="5:10" x14ac:dyDescent="0.25">
      <c r="E210" s="100"/>
      <c r="F210" s="100"/>
      <c r="G210" s="101"/>
      <c r="H210" s="5"/>
      <c r="I210" s="5"/>
      <c r="J210" s="107"/>
    </row>
    <row r="211" spans="5:10" x14ac:dyDescent="0.25">
      <c r="E211" s="100"/>
      <c r="F211" s="100"/>
      <c r="G211" s="101"/>
      <c r="H211" s="5"/>
      <c r="I211" s="5"/>
      <c r="J211" s="107"/>
    </row>
    <row r="212" spans="5:10" x14ac:dyDescent="0.25">
      <c r="E212" s="100"/>
      <c r="F212" s="100"/>
      <c r="G212" s="101"/>
      <c r="H212" s="5"/>
      <c r="I212" s="5"/>
      <c r="J212" s="107"/>
    </row>
    <row r="213" spans="5:10" x14ac:dyDescent="0.25">
      <c r="E213" s="100"/>
      <c r="F213" s="100"/>
      <c r="G213" s="101"/>
      <c r="H213" s="5"/>
      <c r="I213" s="5"/>
      <c r="J213" s="107"/>
    </row>
    <row r="214" spans="5:10" x14ac:dyDescent="0.25">
      <c r="E214" s="100"/>
      <c r="F214" s="100"/>
      <c r="G214" s="101"/>
      <c r="H214" s="5"/>
      <c r="I214" s="5"/>
      <c r="J214" s="107"/>
    </row>
    <row r="215" spans="5:10" x14ac:dyDescent="0.25">
      <c r="E215" s="100"/>
      <c r="F215" s="100"/>
      <c r="G215" s="101"/>
      <c r="H215" s="5"/>
      <c r="I215" s="5"/>
      <c r="J215" s="107"/>
    </row>
    <row r="216" spans="5:10" x14ac:dyDescent="0.25">
      <c r="E216" s="100"/>
      <c r="F216" s="100"/>
      <c r="G216" s="101"/>
      <c r="H216" s="5"/>
      <c r="I216" s="5"/>
      <c r="J216" s="107"/>
    </row>
    <row r="217" spans="5:10" x14ac:dyDescent="0.25">
      <c r="E217" s="100"/>
      <c r="F217" s="100"/>
      <c r="G217" s="101"/>
      <c r="H217" s="5"/>
      <c r="I217" s="5"/>
      <c r="J217" s="107"/>
    </row>
    <row r="218" spans="5:10" x14ac:dyDescent="0.25">
      <c r="E218" s="100"/>
      <c r="F218" s="100"/>
      <c r="G218" s="101"/>
      <c r="H218" s="5"/>
      <c r="I218" s="5"/>
      <c r="J218" s="107"/>
    </row>
    <row r="219" spans="5:10" x14ac:dyDescent="0.25">
      <c r="E219" s="100"/>
      <c r="F219" s="100"/>
      <c r="G219" s="101"/>
      <c r="H219" s="5"/>
      <c r="I219" s="5"/>
      <c r="J219" s="107"/>
    </row>
    <row r="220" spans="5:10" x14ac:dyDescent="0.25">
      <c r="E220" s="100"/>
      <c r="F220" s="100"/>
      <c r="G220" s="101"/>
      <c r="H220" s="5"/>
      <c r="I220" s="5"/>
      <c r="J220" s="107"/>
    </row>
    <row r="221" spans="5:10" x14ac:dyDescent="0.25">
      <c r="E221" s="100"/>
      <c r="F221" s="100"/>
      <c r="G221" s="101"/>
      <c r="H221" s="5"/>
      <c r="I221" s="5"/>
      <c r="J221" s="107"/>
    </row>
    <row r="222" spans="5:10" x14ac:dyDescent="0.25">
      <c r="E222" s="100"/>
      <c r="F222" s="100"/>
      <c r="G222" s="101"/>
      <c r="H222" s="5"/>
      <c r="I222" s="5"/>
      <c r="J222" s="107"/>
    </row>
    <row r="223" spans="5:10" x14ac:dyDescent="0.25">
      <c r="E223" s="100"/>
      <c r="F223" s="100"/>
      <c r="G223" s="101"/>
      <c r="H223" s="5"/>
      <c r="I223" s="5"/>
      <c r="J223" s="107"/>
    </row>
    <row r="224" spans="5:10" x14ac:dyDescent="0.25">
      <c r="E224" s="100"/>
      <c r="F224" s="100"/>
      <c r="G224" s="101"/>
      <c r="H224" s="5"/>
      <c r="I224" s="5"/>
      <c r="J224" s="107"/>
    </row>
    <row r="225" spans="5:10" x14ac:dyDescent="0.25">
      <c r="E225" s="100"/>
      <c r="F225" s="100"/>
      <c r="G225" s="101"/>
      <c r="H225" s="5"/>
      <c r="I225" s="5"/>
      <c r="J225" s="107"/>
    </row>
    <row r="226" spans="5:10" x14ac:dyDescent="0.25">
      <c r="E226" s="100"/>
      <c r="F226" s="100"/>
      <c r="G226" s="101"/>
      <c r="H226" s="5"/>
      <c r="I226" s="5"/>
      <c r="J226" s="107"/>
    </row>
    <row r="227" spans="5:10" x14ac:dyDescent="0.25">
      <c r="E227" s="100"/>
      <c r="F227" s="100"/>
      <c r="G227" s="101"/>
      <c r="H227" s="5"/>
      <c r="I227" s="5"/>
      <c r="J227" s="107"/>
    </row>
    <row r="228" spans="5:10" x14ac:dyDescent="0.25">
      <c r="E228" s="100"/>
      <c r="F228" s="100"/>
      <c r="G228" s="101"/>
      <c r="H228" s="5"/>
      <c r="I228" s="5"/>
      <c r="J228" s="107"/>
    </row>
    <row r="229" spans="5:10" x14ac:dyDescent="0.25">
      <c r="E229" s="100"/>
      <c r="F229" s="100"/>
      <c r="G229" s="101"/>
      <c r="H229" s="5"/>
      <c r="I229" s="5"/>
      <c r="J229" s="107"/>
    </row>
    <row r="230" spans="5:10" x14ac:dyDescent="0.25">
      <c r="E230" s="100"/>
      <c r="F230" s="100"/>
      <c r="G230" s="101"/>
      <c r="H230" s="5"/>
      <c r="I230" s="5"/>
      <c r="J230" s="107"/>
    </row>
    <row r="231" spans="5:10" x14ac:dyDescent="0.25">
      <c r="E231" s="100"/>
      <c r="F231" s="100"/>
      <c r="G231" s="101"/>
      <c r="H231" s="5"/>
      <c r="I231" s="5"/>
      <c r="J231" s="107"/>
    </row>
    <row r="232" spans="5:10" x14ac:dyDescent="0.25">
      <c r="E232" s="100"/>
      <c r="F232" s="100"/>
      <c r="G232" s="101"/>
      <c r="H232" s="5"/>
      <c r="I232" s="5"/>
      <c r="J232" s="107"/>
    </row>
    <row r="233" spans="5:10" x14ac:dyDescent="0.25">
      <c r="E233" s="100"/>
      <c r="F233" s="100"/>
      <c r="G233" s="101"/>
      <c r="H233" s="5"/>
      <c r="I233" s="5"/>
      <c r="J233" s="107"/>
    </row>
    <row r="234" spans="5:10" x14ac:dyDescent="0.25">
      <c r="E234" s="100"/>
      <c r="F234" s="100"/>
      <c r="G234" s="101"/>
      <c r="H234" s="5"/>
      <c r="I234" s="5"/>
      <c r="J234" s="107"/>
    </row>
    <row r="235" spans="5:10" x14ac:dyDescent="0.25">
      <c r="E235" s="100"/>
      <c r="F235" s="100"/>
      <c r="G235" s="101"/>
      <c r="H235" s="5"/>
      <c r="I235" s="5"/>
      <c r="J235" s="107"/>
    </row>
    <row r="236" spans="5:10" x14ac:dyDescent="0.25">
      <c r="E236" s="100"/>
      <c r="F236" s="100"/>
      <c r="G236" s="101"/>
      <c r="H236" s="5"/>
      <c r="I236" s="5"/>
      <c r="J236" s="107"/>
    </row>
    <row r="237" spans="5:10" x14ac:dyDescent="0.25">
      <c r="E237" s="100"/>
      <c r="F237" s="100"/>
      <c r="G237" s="101"/>
      <c r="H237" s="5"/>
      <c r="I237" s="5"/>
      <c r="J237" s="107"/>
    </row>
    <row r="238" spans="5:10" x14ac:dyDescent="0.25">
      <c r="E238" s="100"/>
      <c r="F238" s="100"/>
      <c r="G238" s="101"/>
      <c r="H238" s="5"/>
      <c r="I238" s="5"/>
      <c r="J238" s="107"/>
    </row>
    <row r="239" spans="5:10" x14ac:dyDescent="0.25">
      <c r="E239" s="100"/>
      <c r="F239" s="100"/>
      <c r="G239" s="101"/>
      <c r="H239" s="5"/>
      <c r="I239" s="5"/>
      <c r="J239" s="107"/>
    </row>
    <row r="240" spans="5:10" x14ac:dyDescent="0.25">
      <c r="E240" s="100"/>
      <c r="F240" s="100"/>
      <c r="G240" s="101"/>
      <c r="H240" s="5"/>
      <c r="I240" s="5"/>
      <c r="J240" s="107"/>
    </row>
    <row r="241" spans="5:10" x14ac:dyDescent="0.25">
      <c r="E241" s="100"/>
      <c r="F241" s="100"/>
      <c r="G241" s="101"/>
      <c r="H241" s="5"/>
      <c r="I241" s="5"/>
      <c r="J241" s="107"/>
    </row>
    <row r="242" spans="5:10" x14ac:dyDescent="0.25">
      <c r="E242" s="100"/>
      <c r="F242" s="100"/>
      <c r="G242" s="101"/>
      <c r="H242" s="5"/>
      <c r="I242" s="5"/>
      <c r="J242" s="107"/>
    </row>
    <row r="243" spans="5:10" x14ac:dyDescent="0.25">
      <c r="E243" s="100"/>
      <c r="F243" s="100"/>
      <c r="G243" s="101"/>
      <c r="H243" s="5"/>
      <c r="I243" s="5"/>
      <c r="J243" s="107"/>
    </row>
    <row r="244" spans="5:10" x14ac:dyDescent="0.25">
      <c r="E244" s="100"/>
      <c r="F244" s="100"/>
      <c r="G244" s="101"/>
      <c r="H244" s="5"/>
      <c r="I244" s="5"/>
      <c r="J244" s="107"/>
    </row>
    <row r="245" spans="5:10" x14ac:dyDescent="0.25">
      <c r="E245" s="100"/>
      <c r="F245" s="100"/>
      <c r="G245" s="101"/>
      <c r="H245" s="5"/>
      <c r="I245" s="5"/>
      <c r="J245" s="107"/>
    </row>
    <row r="246" spans="5:10" x14ac:dyDescent="0.25">
      <c r="E246" s="100"/>
      <c r="F246" s="100"/>
      <c r="G246" s="101"/>
      <c r="H246" s="5"/>
      <c r="I246" s="5"/>
      <c r="J246" s="107"/>
    </row>
    <row r="247" spans="5:10" x14ac:dyDescent="0.25">
      <c r="E247" s="100"/>
      <c r="F247" s="100"/>
      <c r="G247" s="101"/>
      <c r="H247" s="5"/>
      <c r="I247" s="5"/>
      <c r="J247" s="107"/>
    </row>
    <row r="248" spans="5:10" x14ac:dyDescent="0.25">
      <c r="E248" s="100"/>
      <c r="F248" s="100"/>
      <c r="G248" s="101"/>
      <c r="H248" s="5"/>
      <c r="I248" s="5"/>
      <c r="J248" s="107"/>
    </row>
    <row r="249" spans="5:10" x14ac:dyDescent="0.25">
      <c r="E249" s="100"/>
      <c r="F249" s="100"/>
      <c r="G249" s="101"/>
      <c r="H249" s="5"/>
      <c r="I249" s="5"/>
      <c r="J249" s="107"/>
    </row>
    <row r="250" spans="5:10" x14ac:dyDescent="0.25">
      <c r="E250" s="100"/>
      <c r="F250" s="100"/>
      <c r="G250" s="101"/>
      <c r="H250" s="5"/>
      <c r="I250" s="5"/>
      <c r="J250" s="107"/>
    </row>
    <row r="251" spans="5:10" x14ac:dyDescent="0.25">
      <c r="E251" s="100"/>
      <c r="F251" s="100"/>
      <c r="G251" s="101"/>
      <c r="H251" s="5"/>
      <c r="I251" s="5"/>
      <c r="J251" s="107"/>
    </row>
    <row r="252" spans="5:10" x14ac:dyDescent="0.25">
      <c r="E252" s="100"/>
      <c r="F252" s="100"/>
      <c r="G252" s="101"/>
      <c r="H252" s="5"/>
      <c r="I252" s="5"/>
      <c r="J252" s="107"/>
    </row>
    <row r="253" spans="5:10" x14ac:dyDescent="0.25">
      <c r="E253" s="100"/>
      <c r="F253" s="100"/>
      <c r="G253" s="101"/>
      <c r="H253" s="5"/>
      <c r="I253" s="5"/>
      <c r="J253" s="107"/>
    </row>
    <row r="254" spans="5:10" x14ac:dyDescent="0.25">
      <c r="E254" s="100"/>
      <c r="F254" s="100"/>
      <c r="G254" s="101"/>
      <c r="H254" s="5"/>
      <c r="I254" s="5"/>
      <c r="J254" s="107"/>
    </row>
    <row r="255" spans="5:10" x14ac:dyDescent="0.25">
      <c r="E255" s="100"/>
      <c r="F255" s="100"/>
      <c r="G255" s="101"/>
      <c r="H255" s="5"/>
      <c r="I255" s="5"/>
      <c r="J255" s="107"/>
    </row>
    <row r="256" spans="5:10" x14ac:dyDescent="0.25">
      <c r="E256" s="100"/>
      <c r="F256" s="100"/>
      <c r="G256" s="101"/>
      <c r="H256" s="5"/>
      <c r="I256" s="5"/>
      <c r="J256" s="107"/>
    </row>
    <row r="257" spans="5:10" x14ac:dyDescent="0.25">
      <c r="E257" s="100"/>
      <c r="F257" s="100"/>
      <c r="G257" s="101"/>
      <c r="H257" s="5"/>
      <c r="I257" s="5"/>
      <c r="J257" s="107"/>
    </row>
    <row r="258" spans="5:10" x14ac:dyDescent="0.25">
      <c r="E258" s="100"/>
      <c r="F258" s="100"/>
      <c r="G258" s="101"/>
      <c r="H258" s="5"/>
      <c r="I258" s="5"/>
      <c r="J258" s="107"/>
    </row>
    <row r="259" spans="5:10" x14ac:dyDescent="0.25">
      <c r="E259" s="100"/>
      <c r="F259" s="100"/>
      <c r="G259" s="101"/>
      <c r="H259" s="5"/>
      <c r="I259" s="5"/>
      <c r="J259" s="107"/>
    </row>
    <row r="260" spans="5:10" x14ac:dyDescent="0.25">
      <c r="E260" s="100"/>
      <c r="F260" s="100"/>
      <c r="G260" s="101"/>
      <c r="H260" s="5"/>
      <c r="I260" s="5"/>
      <c r="J260" s="107"/>
    </row>
    <row r="261" spans="5:10" x14ac:dyDescent="0.25">
      <c r="E261" s="100"/>
      <c r="F261" s="100"/>
      <c r="G261" s="101"/>
      <c r="H261" s="5"/>
      <c r="I261" s="5"/>
      <c r="J261" s="107"/>
    </row>
    <row r="262" spans="5:10" x14ac:dyDescent="0.25">
      <c r="E262" s="100"/>
      <c r="F262" s="100"/>
      <c r="G262" s="101"/>
      <c r="H262" s="5"/>
      <c r="I262" s="5"/>
      <c r="J262" s="107"/>
    </row>
    <row r="263" spans="5:10" x14ac:dyDescent="0.25">
      <c r="E263" s="100"/>
      <c r="F263" s="100"/>
      <c r="G263" s="101"/>
      <c r="H263" s="5"/>
      <c r="I263" s="5"/>
      <c r="J263" s="107"/>
    </row>
    <row r="264" spans="5:10" x14ac:dyDescent="0.25">
      <c r="E264" s="100"/>
      <c r="F264" s="100"/>
      <c r="G264" s="101"/>
      <c r="H264" s="5"/>
      <c r="I264" s="5"/>
      <c r="J264" s="107"/>
    </row>
    <row r="265" spans="5:10" x14ac:dyDescent="0.25">
      <c r="E265" s="100"/>
      <c r="F265" s="100"/>
      <c r="G265" s="101"/>
      <c r="H265" s="5"/>
      <c r="I265" s="5"/>
      <c r="J265" s="107"/>
    </row>
    <row r="266" spans="5:10" x14ac:dyDescent="0.25">
      <c r="E266" s="100"/>
      <c r="F266" s="100"/>
      <c r="G266" s="101"/>
      <c r="H266" s="5"/>
      <c r="I266" s="5"/>
      <c r="J266" s="107"/>
    </row>
    <row r="267" spans="5:10" x14ac:dyDescent="0.25">
      <c r="E267" s="100"/>
      <c r="F267" s="100"/>
      <c r="G267" s="101"/>
      <c r="H267" s="5"/>
      <c r="I267" s="5"/>
      <c r="J267" s="107"/>
    </row>
    <row r="268" spans="5:10" x14ac:dyDescent="0.25">
      <c r="E268" s="100"/>
      <c r="F268" s="100"/>
      <c r="G268" s="101"/>
      <c r="H268" s="5"/>
      <c r="I268" s="5"/>
      <c r="J268" s="107"/>
    </row>
    <row r="269" spans="5:10" x14ac:dyDescent="0.25">
      <c r="E269" s="100"/>
      <c r="F269" s="100"/>
      <c r="G269" s="101"/>
      <c r="H269" s="5"/>
      <c r="I269" s="5"/>
      <c r="J269" s="107"/>
    </row>
    <row r="270" spans="5:10" x14ac:dyDescent="0.25">
      <c r="E270" s="100"/>
      <c r="F270" s="100"/>
      <c r="G270" s="101"/>
      <c r="H270" s="5"/>
      <c r="I270" s="5"/>
      <c r="J270" s="107"/>
    </row>
    <row r="271" spans="5:10" x14ac:dyDescent="0.25">
      <c r="E271" s="100"/>
      <c r="F271" s="100"/>
      <c r="G271" s="101"/>
      <c r="H271" s="5"/>
      <c r="I271" s="5"/>
      <c r="J271" s="107"/>
    </row>
    <row r="272" spans="5:10" x14ac:dyDescent="0.25">
      <c r="E272" s="100"/>
      <c r="F272" s="100"/>
      <c r="G272" s="101"/>
      <c r="H272" s="5"/>
      <c r="I272" s="5"/>
      <c r="J272" s="107"/>
    </row>
    <row r="273" spans="5:10" x14ac:dyDescent="0.25">
      <c r="E273" s="100"/>
      <c r="F273" s="100"/>
      <c r="G273" s="101"/>
      <c r="H273" s="5"/>
      <c r="I273" s="5"/>
      <c r="J273" s="107"/>
    </row>
    <row r="274" spans="5:10" x14ac:dyDescent="0.25">
      <c r="E274" s="100"/>
      <c r="F274" s="100"/>
      <c r="G274" s="101"/>
      <c r="H274" s="5"/>
      <c r="I274" s="5"/>
      <c r="J274" s="107"/>
    </row>
    <row r="275" spans="5:10" x14ac:dyDescent="0.25">
      <c r="E275" s="100"/>
      <c r="F275" s="100"/>
      <c r="G275" s="101"/>
      <c r="H275" s="5"/>
      <c r="I275" s="5"/>
      <c r="J275" s="107"/>
    </row>
    <row r="276" spans="5:10" x14ac:dyDescent="0.25">
      <c r="E276" s="100"/>
      <c r="F276" s="100"/>
      <c r="G276" s="101"/>
      <c r="H276" s="5"/>
      <c r="I276" s="5"/>
      <c r="J276" s="107"/>
    </row>
    <row r="277" spans="5:10" x14ac:dyDescent="0.25">
      <c r="E277" s="100"/>
      <c r="F277" s="100"/>
      <c r="G277" s="101"/>
      <c r="H277" s="5"/>
      <c r="I277" s="5"/>
      <c r="J277" s="107"/>
    </row>
    <row r="278" spans="5:10" x14ac:dyDescent="0.25">
      <c r="E278" s="100"/>
      <c r="F278" s="100"/>
      <c r="G278" s="101"/>
      <c r="H278" s="5"/>
      <c r="I278" s="5"/>
      <c r="J278" s="107"/>
    </row>
    <row r="279" spans="5:10" x14ac:dyDescent="0.25">
      <c r="E279" s="100"/>
      <c r="F279" s="100"/>
      <c r="G279" s="101"/>
      <c r="H279" s="5"/>
      <c r="I279" s="5"/>
      <c r="J279" s="107"/>
    </row>
    <row r="280" spans="5:10" x14ac:dyDescent="0.25">
      <c r="E280" s="100"/>
      <c r="F280" s="100"/>
      <c r="G280" s="101"/>
      <c r="H280" s="5"/>
      <c r="I280" s="5"/>
      <c r="J280" s="107"/>
    </row>
    <row r="281" spans="5:10" x14ac:dyDescent="0.25">
      <c r="E281" s="100"/>
      <c r="F281" s="100"/>
      <c r="G281" s="101"/>
      <c r="H281" s="5"/>
      <c r="I281" s="5"/>
      <c r="J281" s="107"/>
    </row>
    <row r="282" spans="5:10" x14ac:dyDescent="0.25">
      <c r="E282" s="100"/>
      <c r="F282" s="100"/>
      <c r="G282" s="101"/>
      <c r="H282" s="5"/>
      <c r="I282" s="5"/>
      <c r="J282" s="107"/>
    </row>
    <row r="283" spans="5:10" x14ac:dyDescent="0.25">
      <c r="E283" s="100"/>
      <c r="F283" s="100"/>
      <c r="G283" s="101"/>
      <c r="H283" s="5"/>
      <c r="I283" s="5"/>
      <c r="J283" s="107"/>
    </row>
    <row r="284" spans="5:10" x14ac:dyDescent="0.25">
      <c r="E284" s="100"/>
      <c r="F284" s="100"/>
      <c r="G284" s="101"/>
      <c r="H284" s="5"/>
      <c r="I284" s="5"/>
      <c r="J284" s="107"/>
    </row>
    <row r="285" spans="5:10" x14ac:dyDescent="0.25">
      <c r="E285" s="100"/>
      <c r="F285" s="100"/>
      <c r="G285" s="101"/>
      <c r="H285" s="5"/>
      <c r="I285" s="5"/>
      <c r="J285" s="107"/>
    </row>
    <row r="286" spans="5:10" x14ac:dyDescent="0.25">
      <c r="E286" s="100"/>
      <c r="F286" s="100"/>
      <c r="G286" s="101"/>
      <c r="H286" s="5"/>
      <c r="I286" s="5"/>
      <c r="J286" s="107"/>
    </row>
    <row r="287" spans="5:10" x14ac:dyDescent="0.25">
      <c r="E287" s="100"/>
      <c r="F287" s="100"/>
      <c r="G287" s="101"/>
      <c r="H287" s="5"/>
      <c r="I287" s="5"/>
      <c r="J287" s="107"/>
    </row>
    <row r="288" spans="5:10" x14ac:dyDescent="0.25">
      <c r="E288" s="100"/>
      <c r="F288" s="100"/>
      <c r="G288" s="101"/>
      <c r="H288" s="5"/>
      <c r="I288" s="5"/>
      <c r="J288" s="107"/>
    </row>
    <row r="289" spans="5:10" x14ac:dyDescent="0.25">
      <c r="E289" s="100"/>
      <c r="F289" s="100"/>
      <c r="G289" s="101"/>
      <c r="H289" s="5"/>
      <c r="I289" s="5"/>
      <c r="J289" s="107"/>
    </row>
    <row r="290" spans="5:10" x14ac:dyDescent="0.25">
      <c r="E290" s="100"/>
      <c r="F290" s="100"/>
      <c r="G290" s="101"/>
      <c r="H290" s="5"/>
      <c r="I290" s="5"/>
      <c r="J290" s="107"/>
    </row>
    <row r="291" spans="5:10" x14ac:dyDescent="0.25">
      <c r="E291" s="100"/>
      <c r="F291" s="100"/>
      <c r="G291" s="101"/>
      <c r="H291" s="5"/>
      <c r="I291" s="5"/>
      <c r="J291" s="107"/>
    </row>
    <row r="292" spans="5:10" x14ac:dyDescent="0.25">
      <c r="E292" s="100"/>
      <c r="F292" s="100"/>
      <c r="G292" s="101"/>
      <c r="H292" s="5"/>
      <c r="I292" s="5"/>
      <c r="J292" s="107"/>
    </row>
    <row r="293" spans="5:10" x14ac:dyDescent="0.25">
      <c r="E293" s="100"/>
      <c r="F293" s="100"/>
      <c r="G293" s="101"/>
      <c r="H293" s="5"/>
      <c r="I293" s="5"/>
      <c r="J293" s="107"/>
    </row>
    <row r="294" spans="5:10" x14ac:dyDescent="0.25">
      <c r="E294" s="100"/>
      <c r="F294" s="100"/>
      <c r="G294" s="101"/>
      <c r="H294" s="5"/>
      <c r="I294" s="5"/>
      <c r="J294" s="107"/>
    </row>
    <row r="295" spans="5:10" x14ac:dyDescent="0.25">
      <c r="E295" s="100"/>
      <c r="F295" s="100"/>
      <c r="G295" s="101"/>
      <c r="H295" s="5"/>
      <c r="I295" s="5"/>
      <c r="J295" s="107"/>
    </row>
    <row r="296" spans="5:10" x14ac:dyDescent="0.25">
      <c r="E296" s="100"/>
      <c r="F296" s="100"/>
      <c r="G296" s="101"/>
      <c r="H296" s="5"/>
      <c r="I296" s="5"/>
      <c r="J296" s="107"/>
    </row>
    <row r="297" spans="5:10" x14ac:dyDescent="0.25">
      <c r="E297" s="100"/>
      <c r="F297" s="100"/>
      <c r="G297" s="101"/>
      <c r="H297" s="5"/>
      <c r="I297" s="5"/>
      <c r="J297" s="107"/>
    </row>
    <row r="298" spans="5:10" x14ac:dyDescent="0.25">
      <c r="E298" s="100"/>
      <c r="F298" s="100"/>
      <c r="G298" s="101"/>
      <c r="H298" s="5"/>
      <c r="I298" s="5"/>
      <c r="J298" s="107"/>
    </row>
    <row r="299" spans="5:10" x14ac:dyDescent="0.25">
      <c r="E299" s="100"/>
      <c r="F299" s="100"/>
      <c r="G299" s="101"/>
      <c r="H299" s="5"/>
      <c r="I299" s="5"/>
      <c r="J299" s="107"/>
    </row>
    <row r="300" spans="5:10" x14ac:dyDescent="0.25">
      <c r="E300" s="100"/>
      <c r="F300" s="100"/>
      <c r="G300" s="101"/>
      <c r="H300" s="5"/>
      <c r="I300" s="5"/>
      <c r="J300" s="107"/>
    </row>
    <row r="301" spans="5:10" x14ac:dyDescent="0.25">
      <c r="E301" s="100"/>
      <c r="F301" s="100"/>
      <c r="G301" s="101"/>
      <c r="H301" s="5"/>
      <c r="I301" s="5"/>
      <c r="J301" s="107"/>
    </row>
    <row r="302" spans="5:10" x14ac:dyDescent="0.25">
      <c r="E302" s="100"/>
      <c r="F302" s="100"/>
      <c r="G302" s="101"/>
      <c r="H302" s="5"/>
      <c r="I302" s="5"/>
      <c r="J302" s="107"/>
    </row>
    <row r="303" spans="5:10" x14ac:dyDescent="0.25">
      <c r="E303" s="100"/>
      <c r="F303" s="100"/>
      <c r="G303" s="101"/>
      <c r="H303" s="5"/>
      <c r="I303" s="5"/>
      <c r="J303" s="107"/>
    </row>
    <row r="304" spans="5:10" x14ac:dyDescent="0.25">
      <c r="E304" s="100"/>
      <c r="F304" s="100"/>
      <c r="G304" s="101"/>
      <c r="H304" s="5"/>
      <c r="I304" s="5"/>
      <c r="J304" s="107"/>
    </row>
    <row r="305" spans="5:10" x14ac:dyDescent="0.25">
      <c r="E305" s="100"/>
      <c r="F305" s="100"/>
      <c r="G305" s="101"/>
      <c r="H305" s="5"/>
      <c r="I305" s="5"/>
      <c r="J305" s="107"/>
    </row>
    <row r="306" spans="5:10" x14ac:dyDescent="0.25">
      <c r="E306" s="100"/>
      <c r="F306" s="100"/>
      <c r="G306" s="101"/>
      <c r="H306" s="5"/>
      <c r="I306" s="5"/>
      <c r="J306" s="107"/>
    </row>
    <row r="307" spans="5:10" x14ac:dyDescent="0.25">
      <c r="E307" s="100"/>
      <c r="F307" s="100"/>
      <c r="G307" s="101"/>
      <c r="H307" s="5"/>
      <c r="I307" s="5"/>
      <c r="J307" s="107"/>
    </row>
    <row r="308" spans="5:10" x14ac:dyDescent="0.25">
      <c r="E308" s="100"/>
      <c r="F308" s="100"/>
      <c r="G308" s="101"/>
      <c r="H308" s="5"/>
      <c r="I308" s="5"/>
      <c r="J308" s="107"/>
    </row>
    <row r="309" spans="5:10" x14ac:dyDescent="0.25">
      <c r="E309" s="100"/>
      <c r="F309" s="100"/>
      <c r="G309" s="101"/>
      <c r="H309" s="5"/>
      <c r="I309" s="5"/>
      <c r="J309" s="107"/>
    </row>
    <row r="310" spans="5:10" x14ac:dyDescent="0.25">
      <c r="E310" s="100"/>
      <c r="F310" s="100"/>
      <c r="G310" s="101"/>
      <c r="H310" s="5"/>
      <c r="I310" s="5"/>
      <c r="J310" s="107"/>
    </row>
    <row r="311" spans="5:10" x14ac:dyDescent="0.25">
      <c r="E311" s="100"/>
      <c r="F311" s="100"/>
      <c r="G311" s="101"/>
      <c r="H311" s="5"/>
      <c r="I311" s="5"/>
      <c r="J311" s="107"/>
    </row>
    <row r="312" spans="5:10" x14ac:dyDescent="0.25">
      <c r="E312" s="100"/>
      <c r="F312" s="100"/>
      <c r="G312" s="101"/>
      <c r="H312" s="5"/>
      <c r="I312" s="5"/>
      <c r="J312" s="107"/>
    </row>
    <row r="313" spans="5:10" x14ac:dyDescent="0.25">
      <c r="E313" s="100"/>
      <c r="F313" s="100"/>
      <c r="G313" s="101"/>
      <c r="H313" s="5"/>
      <c r="I313" s="5"/>
      <c r="J313" s="107"/>
    </row>
    <row r="314" spans="5:10" x14ac:dyDescent="0.25">
      <c r="E314" s="100"/>
      <c r="F314" s="100"/>
      <c r="G314" s="101"/>
      <c r="H314" s="5"/>
      <c r="I314" s="5"/>
      <c r="J314" s="107"/>
    </row>
    <row r="315" spans="5:10" x14ac:dyDescent="0.25">
      <c r="E315" s="100"/>
      <c r="F315" s="100"/>
      <c r="G315" s="101"/>
      <c r="H315" s="5"/>
      <c r="I315" s="5"/>
      <c r="J315" s="107"/>
    </row>
    <row r="316" spans="5:10" x14ac:dyDescent="0.25">
      <c r="E316" s="100"/>
      <c r="F316" s="100"/>
      <c r="G316" s="101"/>
      <c r="H316" s="5"/>
      <c r="I316" s="5"/>
      <c r="J316" s="107"/>
    </row>
    <row r="317" spans="5:10" x14ac:dyDescent="0.25">
      <c r="E317" s="100"/>
      <c r="F317" s="100"/>
      <c r="G317" s="101"/>
      <c r="H317" s="5"/>
      <c r="I317" s="5"/>
      <c r="J317" s="107"/>
    </row>
    <row r="318" spans="5:10" x14ac:dyDescent="0.25">
      <c r="E318" s="100"/>
      <c r="F318" s="100"/>
      <c r="G318" s="101"/>
      <c r="H318" s="5"/>
      <c r="I318" s="5"/>
      <c r="J318" s="107"/>
    </row>
    <row r="319" spans="5:10" x14ac:dyDescent="0.25">
      <c r="E319" s="100"/>
      <c r="F319" s="100"/>
      <c r="G319" s="101"/>
      <c r="H319" s="5"/>
      <c r="I319" s="5"/>
      <c r="J319" s="107"/>
    </row>
    <row r="320" spans="5:10" x14ac:dyDescent="0.25">
      <c r="E320" s="100"/>
      <c r="F320" s="100"/>
      <c r="G320" s="101"/>
      <c r="H320" s="5"/>
      <c r="I320" s="5"/>
      <c r="J320" s="107"/>
    </row>
    <row r="321" spans="5:10" x14ac:dyDescent="0.25">
      <c r="E321" s="100"/>
      <c r="F321" s="100"/>
      <c r="G321" s="101"/>
      <c r="H321" s="5"/>
      <c r="I321" s="5"/>
      <c r="J321" s="107"/>
    </row>
    <row r="322" spans="5:10" x14ac:dyDescent="0.25">
      <c r="E322" s="100"/>
      <c r="F322" s="100"/>
      <c r="G322" s="101"/>
      <c r="H322" s="5"/>
      <c r="I322" s="5"/>
      <c r="J322" s="107"/>
    </row>
    <row r="323" spans="5:10" x14ac:dyDescent="0.25">
      <c r="E323" s="100"/>
      <c r="F323" s="100"/>
      <c r="G323" s="101"/>
      <c r="H323" s="5"/>
      <c r="I323" s="5"/>
      <c r="J323" s="107"/>
    </row>
    <row r="324" spans="5:10" x14ac:dyDescent="0.25">
      <c r="E324" s="100"/>
      <c r="F324" s="100"/>
      <c r="G324" s="101"/>
      <c r="H324" s="5"/>
      <c r="I324" s="5"/>
      <c r="J324" s="107"/>
    </row>
    <row r="325" spans="5:10" x14ac:dyDescent="0.25">
      <c r="E325" s="100"/>
      <c r="F325" s="100"/>
      <c r="G325" s="101"/>
      <c r="H325" s="5"/>
      <c r="I325" s="5"/>
      <c r="J325" s="107"/>
    </row>
    <row r="326" spans="5:10" x14ac:dyDescent="0.25">
      <c r="E326" s="100"/>
      <c r="F326" s="100"/>
      <c r="G326" s="101"/>
      <c r="H326" s="5"/>
      <c r="I326" s="5"/>
      <c r="J326" s="107"/>
    </row>
    <row r="327" spans="5:10" x14ac:dyDescent="0.25">
      <c r="E327" s="100"/>
      <c r="F327" s="100"/>
      <c r="G327" s="101"/>
      <c r="H327" s="5"/>
      <c r="I327" s="5"/>
      <c r="J327" s="107"/>
    </row>
    <row r="328" spans="5:10" x14ac:dyDescent="0.25">
      <c r="E328" s="100"/>
      <c r="F328" s="100"/>
      <c r="G328" s="101"/>
      <c r="H328" s="5"/>
      <c r="I328" s="5"/>
      <c r="J328" s="107"/>
    </row>
    <row r="329" spans="5:10" x14ac:dyDescent="0.25">
      <c r="E329" s="100"/>
      <c r="F329" s="100"/>
      <c r="G329" s="101"/>
      <c r="H329" s="5"/>
      <c r="I329" s="5"/>
      <c r="J329" s="107"/>
    </row>
    <row r="330" spans="5:10" x14ac:dyDescent="0.25">
      <c r="E330" s="100"/>
      <c r="F330" s="100"/>
      <c r="G330" s="101"/>
      <c r="H330" s="5"/>
      <c r="I330" s="5"/>
      <c r="J330" s="107"/>
    </row>
    <row r="331" spans="5:10" x14ac:dyDescent="0.25">
      <c r="E331" s="100"/>
      <c r="F331" s="100"/>
      <c r="G331" s="101"/>
      <c r="H331" s="5"/>
      <c r="I331" s="5"/>
      <c r="J331" s="107"/>
    </row>
    <row r="332" spans="5:10" x14ac:dyDescent="0.25">
      <c r="E332" s="100"/>
      <c r="F332" s="100"/>
      <c r="G332" s="101"/>
      <c r="H332" s="5"/>
      <c r="I332" s="5"/>
      <c r="J332" s="107"/>
    </row>
    <row r="333" spans="5:10" x14ac:dyDescent="0.25">
      <c r="E333" s="100"/>
      <c r="F333" s="100"/>
      <c r="G333" s="101"/>
      <c r="H333" s="5"/>
      <c r="I333" s="5"/>
      <c r="J333" s="107"/>
    </row>
    <row r="334" spans="5:10" x14ac:dyDescent="0.25">
      <c r="E334" s="100"/>
      <c r="F334" s="100"/>
      <c r="G334" s="101"/>
      <c r="H334" s="5"/>
      <c r="I334" s="5"/>
      <c r="J334" s="107"/>
    </row>
    <row r="335" spans="5:10" x14ac:dyDescent="0.25">
      <c r="E335" s="100"/>
      <c r="F335" s="100"/>
      <c r="G335" s="101"/>
      <c r="H335" s="5"/>
      <c r="I335" s="5"/>
      <c r="J335" s="107"/>
    </row>
    <row r="336" spans="5:10" x14ac:dyDescent="0.25">
      <c r="E336" s="100"/>
      <c r="F336" s="100"/>
      <c r="G336" s="101"/>
      <c r="H336" s="5"/>
      <c r="I336" s="5"/>
      <c r="J336" s="107"/>
    </row>
    <row r="337" spans="5:10" x14ac:dyDescent="0.25">
      <c r="E337" s="100"/>
      <c r="F337" s="100"/>
      <c r="G337" s="101"/>
      <c r="H337" s="5"/>
      <c r="I337" s="5"/>
      <c r="J337" s="107"/>
    </row>
    <row r="338" spans="5:10" x14ac:dyDescent="0.25">
      <c r="E338" s="100"/>
      <c r="F338" s="100"/>
      <c r="G338" s="101"/>
      <c r="H338" s="5"/>
      <c r="I338" s="5"/>
      <c r="J338" s="107"/>
    </row>
    <row r="339" spans="5:10" x14ac:dyDescent="0.25">
      <c r="E339" s="100"/>
      <c r="F339" s="100"/>
      <c r="G339" s="101"/>
      <c r="H339" s="5"/>
      <c r="I339" s="5"/>
      <c r="J339" s="107"/>
    </row>
    <row r="340" spans="5:10" x14ac:dyDescent="0.25">
      <c r="E340" s="100"/>
      <c r="F340" s="100"/>
      <c r="G340" s="101"/>
      <c r="H340" s="5"/>
      <c r="I340" s="5"/>
      <c r="J340" s="107"/>
    </row>
    <row r="341" spans="5:10" x14ac:dyDescent="0.25">
      <c r="E341" s="100"/>
      <c r="F341" s="100"/>
      <c r="G341" s="101"/>
      <c r="H341" s="5"/>
      <c r="I341" s="5"/>
      <c r="J341" s="107"/>
    </row>
    <row r="342" spans="5:10" x14ac:dyDescent="0.25">
      <c r="E342" s="100"/>
      <c r="F342" s="100"/>
      <c r="G342" s="101"/>
      <c r="H342" s="5"/>
      <c r="I342" s="5"/>
      <c r="J342" s="107"/>
    </row>
    <row r="343" spans="5:10" x14ac:dyDescent="0.25">
      <c r="E343" s="100"/>
      <c r="F343" s="100"/>
      <c r="G343" s="101"/>
      <c r="H343" s="5"/>
      <c r="I343" s="5"/>
      <c r="J343" s="107"/>
    </row>
    <row r="344" spans="5:10" x14ac:dyDescent="0.25">
      <c r="E344" s="100"/>
      <c r="F344" s="100"/>
      <c r="G344" s="101"/>
      <c r="H344" s="5"/>
      <c r="I344" s="5"/>
      <c r="J344" s="107"/>
    </row>
    <row r="345" spans="5:10" x14ac:dyDescent="0.25">
      <c r="E345" s="100"/>
      <c r="F345" s="100"/>
      <c r="G345" s="101"/>
      <c r="H345" s="5"/>
      <c r="I345" s="5"/>
      <c r="J345" s="107"/>
    </row>
    <row r="346" spans="5:10" x14ac:dyDescent="0.25">
      <c r="E346" s="100"/>
      <c r="F346" s="100"/>
      <c r="G346" s="101"/>
      <c r="H346" s="5"/>
      <c r="I346" s="5"/>
      <c r="J346" s="107"/>
    </row>
    <row r="347" spans="5:10" x14ac:dyDescent="0.25">
      <c r="E347" s="100"/>
      <c r="F347" s="100"/>
      <c r="G347" s="101"/>
      <c r="H347" s="5"/>
      <c r="I347" s="5"/>
      <c r="J347" s="107"/>
    </row>
    <row r="348" spans="5:10" x14ac:dyDescent="0.25">
      <c r="E348" s="100"/>
      <c r="F348" s="100"/>
      <c r="G348" s="101"/>
      <c r="H348" s="5"/>
      <c r="I348" s="5"/>
      <c r="J348" s="107"/>
    </row>
    <row r="349" spans="5:10" x14ac:dyDescent="0.25">
      <c r="E349" s="100"/>
      <c r="F349" s="100"/>
      <c r="G349" s="101"/>
      <c r="H349" s="5"/>
      <c r="I349" s="5"/>
      <c r="J349" s="107"/>
    </row>
    <row r="350" spans="5:10" x14ac:dyDescent="0.25">
      <c r="E350" s="100"/>
      <c r="F350" s="100"/>
      <c r="G350" s="101"/>
      <c r="H350" s="5"/>
      <c r="I350" s="5"/>
      <c r="J350" s="107"/>
    </row>
    <row r="351" spans="5:10" x14ac:dyDescent="0.25">
      <c r="E351" s="100"/>
      <c r="F351" s="100"/>
      <c r="G351" s="101"/>
      <c r="H351" s="5"/>
      <c r="I351" s="5"/>
      <c r="J351" s="107"/>
    </row>
    <row r="352" spans="5:10" x14ac:dyDescent="0.25">
      <c r="E352" s="100"/>
      <c r="F352" s="100"/>
      <c r="G352" s="101"/>
      <c r="H352" s="5"/>
      <c r="I352" s="5"/>
      <c r="J352" s="107"/>
    </row>
    <row r="353" spans="5:10" x14ac:dyDescent="0.25">
      <c r="E353" s="100"/>
      <c r="F353" s="100"/>
      <c r="G353" s="101"/>
      <c r="H353" s="5"/>
      <c r="I353" s="5"/>
      <c r="J353" s="107"/>
    </row>
    <row r="354" spans="5:10" x14ac:dyDescent="0.25">
      <c r="E354" s="100"/>
      <c r="F354" s="100"/>
      <c r="G354" s="101"/>
      <c r="H354" s="5"/>
      <c r="I354" s="5"/>
      <c r="J354" s="107"/>
    </row>
    <row r="355" spans="5:10" x14ac:dyDescent="0.25">
      <c r="E355" s="100"/>
      <c r="F355" s="100"/>
      <c r="G355" s="101"/>
      <c r="H355" s="5"/>
      <c r="I355" s="5"/>
      <c r="J355" s="107"/>
    </row>
    <row r="356" spans="5:10" x14ac:dyDescent="0.25">
      <c r="E356" s="100"/>
      <c r="F356" s="100"/>
      <c r="G356" s="101"/>
      <c r="H356" s="5"/>
      <c r="I356" s="5"/>
      <c r="J356" s="107"/>
    </row>
    <row r="357" spans="5:10" x14ac:dyDescent="0.25">
      <c r="E357" s="100"/>
      <c r="F357" s="100"/>
      <c r="G357" s="101"/>
      <c r="H357" s="5"/>
      <c r="I357" s="5"/>
      <c r="J357" s="107"/>
    </row>
    <row r="358" spans="5:10" x14ac:dyDescent="0.25">
      <c r="E358" s="100"/>
      <c r="F358" s="100"/>
      <c r="G358" s="101"/>
      <c r="H358" s="5"/>
      <c r="I358" s="5"/>
      <c r="J358" s="107"/>
    </row>
    <row r="359" spans="5:10" x14ac:dyDescent="0.25">
      <c r="E359" s="100"/>
      <c r="F359" s="100"/>
      <c r="G359" s="101"/>
      <c r="H359" s="5"/>
      <c r="I359" s="5"/>
      <c r="J359" s="107"/>
    </row>
    <row r="360" spans="5:10" x14ac:dyDescent="0.25">
      <c r="E360" s="100"/>
      <c r="F360" s="100"/>
      <c r="G360" s="101"/>
      <c r="H360" s="5"/>
      <c r="I360" s="5"/>
      <c r="J360" s="107"/>
    </row>
    <row r="361" spans="5:10" x14ac:dyDescent="0.25">
      <c r="E361" s="100"/>
      <c r="F361" s="100"/>
      <c r="G361" s="101"/>
      <c r="H361" s="5"/>
      <c r="I361" s="5"/>
      <c r="J361" s="107"/>
    </row>
    <row r="362" spans="5:10" x14ac:dyDescent="0.25">
      <c r="E362" s="100"/>
      <c r="F362" s="100"/>
      <c r="G362" s="101"/>
      <c r="H362" s="5"/>
      <c r="I362" s="5"/>
      <c r="J362" s="107"/>
    </row>
    <row r="363" spans="5:10" x14ac:dyDescent="0.25">
      <c r="E363" s="100"/>
      <c r="F363" s="100"/>
      <c r="G363" s="101"/>
      <c r="H363" s="5"/>
      <c r="I363" s="5"/>
      <c r="J363" s="107"/>
    </row>
    <row r="364" spans="5:10" x14ac:dyDescent="0.25">
      <c r="E364" s="100"/>
      <c r="F364" s="100"/>
      <c r="G364" s="101"/>
      <c r="H364" s="5"/>
      <c r="I364" s="5"/>
      <c r="J364" s="107"/>
    </row>
    <row r="365" spans="5:10" x14ac:dyDescent="0.25">
      <c r="E365" s="100"/>
      <c r="F365" s="100"/>
      <c r="G365" s="101"/>
      <c r="H365" s="5"/>
      <c r="I365" s="5"/>
      <c r="J365" s="107"/>
    </row>
    <row r="366" spans="5:10" x14ac:dyDescent="0.25">
      <c r="E366" s="100"/>
      <c r="F366" s="100"/>
      <c r="G366" s="101"/>
      <c r="H366" s="5"/>
      <c r="I366" s="5"/>
      <c r="J366" s="107"/>
    </row>
    <row r="367" spans="5:10" x14ac:dyDescent="0.25">
      <c r="E367" s="100"/>
      <c r="F367" s="100"/>
      <c r="G367" s="101"/>
      <c r="H367" s="5"/>
      <c r="I367" s="5"/>
      <c r="J367" s="107"/>
    </row>
    <row r="368" spans="5:10" x14ac:dyDescent="0.25">
      <c r="E368" s="100"/>
      <c r="F368" s="100"/>
      <c r="G368" s="101"/>
      <c r="H368" s="5"/>
      <c r="I368" s="5"/>
      <c r="J368" s="107"/>
    </row>
    <row r="369" spans="5:10" x14ac:dyDescent="0.25">
      <c r="E369" s="100"/>
      <c r="F369" s="100"/>
      <c r="G369" s="101"/>
      <c r="H369" s="5"/>
      <c r="I369" s="5"/>
      <c r="J369" s="107"/>
    </row>
    <row r="370" spans="5:10" x14ac:dyDescent="0.25">
      <c r="E370" s="100"/>
      <c r="F370" s="100"/>
      <c r="G370" s="101"/>
      <c r="H370" s="5"/>
      <c r="I370" s="5"/>
      <c r="J370" s="107"/>
    </row>
    <row r="371" spans="5:10" x14ac:dyDescent="0.25">
      <c r="E371" s="100"/>
      <c r="F371" s="100"/>
      <c r="G371" s="101"/>
      <c r="H371" s="5"/>
      <c r="I371" s="5"/>
      <c r="J371" s="107"/>
    </row>
    <row r="372" spans="5:10" x14ac:dyDescent="0.25">
      <c r="E372" s="100"/>
      <c r="F372" s="100"/>
      <c r="G372" s="101"/>
      <c r="H372" s="5"/>
      <c r="I372" s="5"/>
      <c r="J372" s="107"/>
    </row>
    <row r="373" spans="5:10" x14ac:dyDescent="0.25">
      <c r="E373" s="100"/>
      <c r="F373" s="100"/>
      <c r="G373" s="101"/>
      <c r="H373" s="5"/>
      <c r="I373" s="5"/>
      <c r="J373" s="107"/>
    </row>
    <row r="374" spans="5:10" x14ac:dyDescent="0.25">
      <c r="E374" s="100"/>
      <c r="F374" s="100"/>
      <c r="G374" s="101"/>
      <c r="H374" s="5"/>
      <c r="I374" s="5"/>
      <c r="J374" s="107"/>
    </row>
    <row r="375" spans="5:10" x14ac:dyDescent="0.25">
      <c r="E375" s="100"/>
      <c r="F375" s="100"/>
      <c r="G375" s="101"/>
      <c r="H375" s="5"/>
      <c r="I375" s="5"/>
      <c r="J375" s="107"/>
    </row>
    <row r="376" spans="5:10" x14ac:dyDescent="0.25">
      <c r="E376" s="100"/>
      <c r="F376" s="100"/>
      <c r="G376" s="101"/>
      <c r="H376" s="5"/>
      <c r="I376" s="5"/>
      <c r="J376" s="107"/>
    </row>
    <row r="377" spans="5:10" x14ac:dyDescent="0.25">
      <c r="E377" s="100"/>
      <c r="F377" s="100"/>
      <c r="G377" s="101"/>
      <c r="H377" s="5"/>
      <c r="I377" s="5"/>
      <c r="J377" s="107"/>
    </row>
    <row r="378" spans="5:10" x14ac:dyDescent="0.25">
      <c r="E378" s="100"/>
      <c r="F378" s="100"/>
      <c r="G378" s="101"/>
      <c r="H378" s="5"/>
      <c r="I378" s="5"/>
      <c r="J378" s="107"/>
    </row>
    <row r="379" spans="5:10" x14ac:dyDescent="0.25">
      <c r="E379" s="100"/>
      <c r="F379" s="100"/>
      <c r="G379" s="101"/>
      <c r="H379" s="5"/>
      <c r="I379" s="5"/>
      <c r="J379" s="107"/>
    </row>
    <row r="380" spans="5:10" x14ac:dyDescent="0.25">
      <c r="E380" s="100"/>
      <c r="F380" s="100"/>
      <c r="G380" s="101"/>
      <c r="H380" s="5"/>
      <c r="I380" s="5"/>
      <c r="J380" s="107"/>
    </row>
    <row r="381" spans="5:10" x14ac:dyDescent="0.25">
      <c r="E381" s="100"/>
      <c r="F381" s="100"/>
      <c r="G381" s="101"/>
      <c r="H381" s="5"/>
      <c r="I381" s="5"/>
      <c r="J381" s="107"/>
    </row>
    <row r="382" spans="5:10" x14ac:dyDescent="0.25">
      <c r="E382" s="100"/>
      <c r="F382" s="100"/>
      <c r="G382" s="101"/>
      <c r="H382" s="5"/>
      <c r="I382" s="5"/>
      <c r="J382" s="107"/>
    </row>
    <row r="383" spans="5:10" x14ac:dyDescent="0.25">
      <c r="E383" s="100"/>
      <c r="F383" s="100"/>
      <c r="G383" s="101"/>
      <c r="H383" s="5"/>
      <c r="I383" s="5"/>
      <c r="J383" s="107"/>
    </row>
    <row r="384" spans="5:10" x14ac:dyDescent="0.25">
      <c r="E384" s="100"/>
      <c r="F384" s="100"/>
      <c r="G384" s="101"/>
      <c r="H384" s="5"/>
      <c r="I384" s="5"/>
      <c r="J384" s="107"/>
    </row>
    <row r="385" spans="5:10" x14ac:dyDescent="0.25">
      <c r="E385" s="100"/>
      <c r="F385" s="100"/>
      <c r="G385" s="101"/>
      <c r="H385" s="5"/>
      <c r="I385" s="5"/>
      <c r="J385" s="107"/>
    </row>
    <row r="386" spans="5:10" x14ac:dyDescent="0.25">
      <c r="E386" s="100"/>
      <c r="F386" s="100"/>
      <c r="G386" s="101"/>
      <c r="H386" s="5"/>
      <c r="I386" s="5"/>
      <c r="J386" s="107"/>
    </row>
    <row r="387" spans="5:10" x14ac:dyDescent="0.25">
      <c r="E387" s="100"/>
      <c r="F387" s="100"/>
      <c r="G387" s="101"/>
      <c r="H387" s="5"/>
      <c r="I387" s="5"/>
      <c r="J387" s="107"/>
    </row>
    <row r="388" spans="5:10" x14ac:dyDescent="0.25">
      <c r="E388" s="100"/>
      <c r="F388" s="100"/>
      <c r="G388" s="101"/>
      <c r="H388" s="5"/>
      <c r="I388" s="5"/>
      <c r="J388" s="107"/>
    </row>
    <row r="389" spans="5:10" x14ac:dyDescent="0.25">
      <c r="E389" s="100"/>
      <c r="F389" s="100"/>
      <c r="G389" s="101"/>
      <c r="H389" s="5"/>
      <c r="I389" s="5"/>
      <c r="J389" s="107"/>
    </row>
    <row r="390" spans="5:10" x14ac:dyDescent="0.25">
      <c r="E390" s="100"/>
      <c r="F390" s="100"/>
      <c r="G390" s="101"/>
      <c r="H390" s="5"/>
      <c r="I390" s="5"/>
      <c r="J390" s="107"/>
    </row>
    <row r="391" spans="5:10" x14ac:dyDescent="0.25">
      <c r="E391" s="100"/>
      <c r="F391" s="100"/>
      <c r="G391" s="101"/>
      <c r="H391" s="5"/>
      <c r="I391" s="5"/>
      <c r="J391" s="107"/>
    </row>
    <row r="392" spans="5:10" x14ac:dyDescent="0.25">
      <c r="E392" s="100"/>
      <c r="F392" s="100"/>
      <c r="G392" s="101"/>
      <c r="H392" s="5"/>
      <c r="I392" s="5"/>
      <c r="J392" s="107"/>
    </row>
    <row r="393" spans="5:10" x14ac:dyDescent="0.25">
      <c r="E393" s="100"/>
      <c r="F393" s="100"/>
      <c r="G393" s="101"/>
      <c r="H393" s="5"/>
      <c r="I393" s="5"/>
      <c r="J393" s="107"/>
    </row>
    <row r="394" spans="5:10" x14ac:dyDescent="0.25">
      <c r="E394" s="100"/>
      <c r="F394" s="100"/>
      <c r="G394" s="101"/>
      <c r="H394" s="5"/>
      <c r="I394" s="5"/>
      <c r="J394" s="107"/>
    </row>
    <row r="395" spans="5:10" x14ac:dyDescent="0.25">
      <c r="E395" s="100"/>
      <c r="F395" s="100"/>
      <c r="G395" s="101"/>
      <c r="H395" s="5"/>
      <c r="I395" s="5"/>
      <c r="J395" s="107"/>
    </row>
    <row r="396" spans="5:10" x14ac:dyDescent="0.25">
      <c r="E396" s="100"/>
      <c r="F396" s="100"/>
      <c r="G396" s="101"/>
      <c r="H396" s="5"/>
      <c r="I396" s="5"/>
      <c r="J396" s="107"/>
    </row>
    <row r="397" spans="5:10" x14ac:dyDescent="0.25">
      <c r="E397" s="100"/>
      <c r="F397" s="100"/>
      <c r="G397" s="101"/>
      <c r="H397" s="5"/>
      <c r="I397" s="5"/>
      <c r="J397" s="107"/>
    </row>
    <row r="398" spans="5:10" x14ac:dyDescent="0.25">
      <c r="E398" s="100"/>
      <c r="F398" s="100"/>
      <c r="G398" s="101"/>
      <c r="H398" s="5"/>
      <c r="I398" s="5"/>
      <c r="J398" s="107"/>
    </row>
    <row r="399" spans="5:10" x14ac:dyDescent="0.25">
      <c r="E399" s="100"/>
      <c r="F399" s="100"/>
      <c r="G399" s="101"/>
      <c r="H399" s="5"/>
      <c r="I399" s="5"/>
      <c r="J399" s="107"/>
    </row>
    <row r="400" spans="5:10" x14ac:dyDescent="0.25">
      <c r="E400" s="100"/>
      <c r="F400" s="100"/>
      <c r="G400" s="101"/>
      <c r="H400" s="5"/>
      <c r="I400" s="5"/>
      <c r="J400" s="107"/>
    </row>
    <row r="401" spans="5:10" x14ac:dyDescent="0.25">
      <c r="E401" s="100"/>
      <c r="F401" s="100"/>
      <c r="G401" s="101"/>
      <c r="H401" s="5"/>
      <c r="I401" s="5"/>
      <c r="J401" s="107"/>
    </row>
    <row r="402" spans="5:10" x14ac:dyDescent="0.25">
      <c r="E402" s="100"/>
      <c r="F402" s="100"/>
      <c r="G402" s="101"/>
      <c r="H402" s="5"/>
      <c r="I402" s="5"/>
      <c r="J402" s="107"/>
    </row>
    <row r="403" spans="5:10" x14ac:dyDescent="0.25">
      <c r="E403" s="100"/>
      <c r="F403" s="100"/>
      <c r="G403" s="101"/>
      <c r="H403" s="5"/>
      <c r="I403" s="5"/>
      <c r="J403" s="107"/>
    </row>
    <row r="404" spans="5:10" x14ac:dyDescent="0.25">
      <c r="E404" s="100"/>
      <c r="F404" s="100"/>
      <c r="G404" s="101"/>
      <c r="H404" s="5"/>
      <c r="I404" s="5"/>
      <c r="J404" s="107"/>
    </row>
    <row r="405" spans="5:10" x14ac:dyDescent="0.25">
      <c r="E405" s="100"/>
      <c r="F405" s="100"/>
      <c r="G405" s="101"/>
      <c r="H405" s="5"/>
      <c r="I405" s="5"/>
      <c r="J405" s="107"/>
    </row>
    <row r="406" spans="5:10" x14ac:dyDescent="0.25">
      <c r="E406" s="100"/>
      <c r="F406" s="100"/>
      <c r="G406" s="101"/>
      <c r="H406" s="5"/>
      <c r="I406" s="5"/>
      <c r="J406" s="107"/>
    </row>
    <row r="407" spans="5:10" x14ac:dyDescent="0.25">
      <c r="E407" s="100"/>
      <c r="F407" s="100"/>
      <c r="G407" s="101"/>
      <c r="H407" s="5"/>
      <c r="I407" s="5"/>
      <c r="J407" s="107"/>
    </row>
    <row r="408" spans="5:10" x14ac:dyDescent="0.25">
      <c r="E408" s="100"/>
      <c r="F408" s="100"/>
      <c r="G408" s="101"/>
      <c r="H408" s="5"/>
      <c r="I408" s="5"/>
      <c r="J408" s="107"/>
    </row>
    <row r="409" spans="5:10" x14ac:dyDescent="0.25">
      <c r="E409" s="100"/>
      <c r="F409" s="100"/>
      <c r="G409" s="101"/>
      <c r="H409" s="5"/>
      <c r="I409" s="5"/>
      <c r="J409" s="107"/>
    </row>
    <row r="410" spans="5:10" x14ac:dyDescent="0.25">
      <c r="E410" s="100"/>
      <c r="F410" s="100"/>
      <c r="G410" s="101"/>
      <c r="H410" s="5"/>
      <c r="I410" s="5"/>
      <c r="J410" s="107"/>
    </row>
    <row r="411" spans="5:10" x14ac:dyDescent="0.25">
      <c r="E411" s="100"/>
      <c r="F411" s="100"/>
      <c r="G411" s="101"/>
      <c r="H411" s="5"/>
      <c r="I411" s="5"/>
      <c r="J411" s="107"/>
    </row>
    <row r="412" spans="5:10" x14ac:dyDescent="0.25">
      <c r="E412" s="100"/>
      <c r="F412" s="100"/>
      <c r="G412" s="101"/>
      <c r="H412" s="5"/>
      <c r="I412" s="5"/>
      <c r="J412" s="107"/>
    </row>
    <row r="413" spans="5:10" x14ac:dyDescent="0.25">
      <c r="E413" s="100"/>
      <c r="F413" s="100"/>
      <c r="G413" s="101"/>
      <c r="H413" s="5"/>
      <c r="I413" s="5"/>
      <c r="J413" s="107"/>
    </row>
    <row r="414" spans="5:10" x14ac:dyDescent="0.25">
      <c r="E414" s="100"/>
      <c r="F414" s="100"/>
      <c r="G414" s="101"/>
      <c r="H414" s="5"/>
      <c r="I414" s="5"/>
      <c r="J414" s="107"/>
    </row>
    <row r="415" spans="5:10" x14ac:dyDescent="0.25">
      <c r="E415" s="100"/>
      <c r="F415" s="100"/>
      <c r="G415" s="101"/>
      <c r="H415" s="5"/>
      <c r="I415" s="5"/>
      <c r="J415" s="107"/>
    </row>
    <row r="416" spans="5:10" x14ac:dyDescent="0.25">
      <c r="E416" s="100"/>
      <c r="F416" s="100"/>
      <c r="G416" s="101"/>
      <c r="H416" s="5"/>
      <c r="I416" s="5"/>
      <c r="J416" s="107"/>
    </row>
    <row r="417" spans="5:10" x14ac:dyDescent="0.25">
      <c r="E417" s="100"/>
      <c r="F417" s="100"/>
      <c r="G417" s="101"/>
      <c r="H417" s="5"/>
      <c r="I417" s="5"/>
      <c r="J417" s="107"/>
    </row>
    <row r="418" spans="5:10" x14ac:dyDescent="0.25">
      <c r="E418" s="100"/>
      <c r="F418" s="100"/>
      <c r="G418" s="101"/>
      <c r="H418" s="5"/>
      <c r="I418" s="5"/>
      <c r="J418" s="107"/>
    </row>
    <row r="419" spans="5:10" x14ac:dyDescent="0.25">
      <c r="E419" s="100"/>
      <c r="F419" s="100"/>
      <c r="G419" s="101"/>
      <c r="H419" s="5"/>
      <c r="I419" s="5"/>
      <c r="J419" s="107"/>
    </row>
    <row r="420" spans="5:10" x14ac:dyDescent="0.25">
      <c r="E420" s="100"/>
      <c r="F420" s="100"/>
      <c r="G420" s="101"/>
      <c r="H420" s="5"/>
      <c r="I420" s="5"/>
      <c r="J420" s="107"/>
    </row>
    <row r="421" spans="5:10" x14ac:dyDescent="0.25">
      <c r="E421" s="100"/>
      <c r="F421" s="100"/>
      <c r="G421" s="101"/>
      <c r="H421" s="5"/>
      <c r="I421" s="5"/>
      <c r="J421" s="107"/>
    </row>
    <row r="422" spans="5:10" x14ac:dyDescent="0.25">
      <c r="E422" s="100"/>
      <c r="F422" s="100"/>
      <c r="G422" s="101"/>
      <c r="H422" s="5"/>
      <c r="I422" s="5"/>
      <c r="J422" s="107"/>
    </row>
    <row r="423" spans="5:10" x14ac:dyDescent="0.25">
      <c r="E423" s="100"/>
      <c r="F423" s="100"/>
      <c r="G423" s="101"/>
      <c r="H423" s="5"/>
      <c r="I423" s="5"/>
      <c r="J423" s="107"/>
    </row>
    <row r="424" spans="5:10" x14ac:dyDescent="0.25">
      <c r="E424" s="100"/>
      <c r="F424" s="100"/>
      <c r="G424" s="101"/>
      <c r="H424" s="5"/>
      <c r="I424" s="5"/>
      <c r="J424" s="107"/>
    </row>
    <row r="425" spans="5:10" x14ac:dyDescent="0.25">
      <c r="E425" s="100"/>
      <c r="F425" s="100"/>
      <c r="G425" s="101"/>
      <c r="H425" s="5"/>
      <c r="I425" s="5"/>
      <c r="J425" s="107"/>
    </row>
    <row r="426" spans="5:10" x14ac:dyDescent="0.25">
      <c r="E426" s="100"/>
      <c r="F426" s="100"/>
      <c r="G426" s="101"/>
      <c r="H426" s="5"/>
      <c r="I426" s="5"/>
      <c r="J426" s="107"/>
    </row>
    <row r="427" spans="5:10" x14ac:dyDescent="0.25">
      <c r="E427" s="100"/>
      <c r="F427" s="100"/>
      <c r="G427" s="101"/>
      <c r="H427" s="5"/>
      <c r="I427" s="5"/>
      <c r="J427" s="107"/>
    </row>
    <row r="428" spans="5:10" x14ac:dyDescent="0.25">
      <c r="E428" s="100"/>
      <c r="F428" s="100"/>
      <c r="G428" s="101"/>
      <c r="H428" s="5"/>
      <c r="I428" s="5"/>
      <c r="J428" s="107"/>
    </row>
    <row r="429" spans="5:10" x14ac:dyDescent="0.25">
      <c r="E429" s="100"/>
      <c r="F429" s="100"/>
      <c r="G429" s="101"/>
      <c r="H429" s="5"/>
      <c r="I429" s="5"/>
      <c r="J429" s="107"/>
    </row>
    <row r="430" spans="5:10" x14ac:dyDescent="0.25">
      <c r="E430" s="100"/>
      <c r="F430" s="100"/>
      <c r="G430" s="101"/>
      <c r="H430" s="5"/>
      <c r="I430" s="5"/>
      <c r="J430" s="107"/>
    </row>
    <row r="431" spans="5:10" x14ac:dyDescent="0.25">
      <c r="E431" s="100"/>
      <c r="F431" s="100"/>
      <c r="G431" s="101"/>
      <c r="H431" s="5"/>
      <c r="I431" s="5"/>
      <c r="J431" s="107"/>
    </row>
    <row r="432" spans="5:10" x14ac:dyDescent="0.25">
      <c r="E432" s="100"/>
      <c r="F432" s="100"/>
      <c r="G432" s="101"/>
      <c r="H432" s="5"/>
      <c r="I432" s="5"/>
      <c r="J432" s="107"/>
    </row>
    <row r="433" spans="5:10" x14ac:dyDescent="0.25">
      <c r="E433" s="100"/>
      <c r="F433" s="100"/>
      <c r="G433" s="101"/>
      <c r="H433" s="5"/>
      <c r="I433" s="5"/>
      <c r="J433" s="107"/>
    </row>
    <row r="434" spans="5:10" x14ac:dyDescent="0.25">
      <c r="E434" s="100"/>
      <c r="F434" s="100"/>
      <c r="G434" s="101"/>
      <c r="H434" s="5"/>
      <c r="I434" s="5"/>
      <c r="J434" s="107"/>
    </row>
    <row r="435" spans="5:10" x14ac:dyDescent="0.25">
      <c r="E435" s="100"/>
      <c r="F435" s="100"/>
      <c r="G435" s="101"/>
      <c r="H435" s="5"/>
      <c r="I435" s="5"/>
      <c r="J435" s="107"/>
    </row>
    <row r="436" spans="5:10" x14ac:dyDescent="0.25">
      <c r="E436" s="100"/>
      <c r="F436" s="100"/>
      <c r="G436" s="101"/>
      <c r="H436" s="5"/>
      <c r="I436" s="5"/>
      <c r="J436" s="107"/>
    </row>
    <row r="437" spans="5:10" x14ac:dyDescent="0.25">
      <c r="E437" s="100"/>
      <c r="F437" s="100"/>
      <c r="G437" s="101"/>
      <c r="H437" s="5"/>
      <c r="I437" s="5"/>
      <c r="J437" s="107"/>
    </row>
    <row r="438" spans="5:10" x14ac:dyDescent="0.25">
      <c r="E438" s="100"/>
      <c r="F438" s="100"/>
      <c r="G438" s="101"/>
      <c r="H438" s="5"/>
      <c r="I438" s="5"/>
      <c r="J438" s="107"/>
    </row>
    <row r="439" spans="5:10" x14ac:dyDescent="0.25">
      <c r="E439" s="100"/>
      <c r="F439" s="100"/>
      <c r="G439" s="101"/>
      <c r="H439" s="5"/>
      <c r="I439" s="5"/>
      <c r="J439" s="107"/>
    </row>
    <row r="440" spans="5:10" x14ac:dyDescent="0.25">
      <c r="E440" s="100"/>
      <c r="F440" s="100"/>
      <c r="G440" s="101"/>
      <c r="H440" s="5"/>
      <c r="I440" s="5"/>
      <c r="J440" s="107"/>
    </row>
    <row r="441" spans="5:10" x14ac:dyDescent="0.25">
      <c r="E441" s="100"/>
      <c r="F441" s="100"/>
      <c r="G441" s="101"/>
      <c r="H441" s="5"/>
      <c r="I441" s="5"/>
      <c r="J441" s="107"/>
    </row>
    <row r="442" spans="5:10" x14ac:dyDescent="0.25">
      <c r="E442" s="100"/>
      <c r="F442" s="100"/>
      <c r="G442" s="101"/>
      <c r="H442" s="5"/>
      <c r="I442" s="5"/>
      <c r="J442" s="107"/>
    </row>
    <row r="443" spans="5:10" x14ac:dyDescent="0.25">
      <c r="E443" s="100"/>
      <c r="F443" s="100"/>
      <c r="G443" s="101"/>
      <c r="H443" s="5"/>
      <c r="I443" s="5"/>
      <c r="J443" s="107"/>
    </row>
    <row r="444" spans="5:10" x14ac:dyDescent="0.25">
      <c r="E444" s="100"/>
      <c r="F444" s="100"/>
      <c r="G444" s="101"/>
      <c r="H444" s="5"/>
      <c r="I444" s="5"/>
      <c r="J444" s="107"/>
    </row>
    <row r="445" spans="5:10" x14ac:dyDescent="0.25">
      <c r="E445" s="100"/>
      <c r="F445" s="100"/>
      <c r="G445" s="101"/>
      <c r="H445" s="5"/>
      <c r="I445" s="5"/>
      <c r="J445" s="107"/>
    </row>
    <row r="446" spans="5:10" x14ac:dyDescent="0.25">
      <c r="E446" s="100"/>
      <c r="F446" s="100"/>
      <c r="G446" s="101"/>
      <c r="H446" s="5"/>
      <c r="I446" s="5"/>
      <c r="J446" s="107"/>
    </row>
    <row r="447" spans="5:10" x14ac:dyDescent="0.25">
      <c r="E447" s="100"/>
      <c r="F447" s="100"/>
      <c r="G447" s="101"/>
      <c r="H447" s="5"/>
      <c r="I447" s="5"/>
      <c r="J447" s="107"/>
    </row>
    <row r="448" spans="5:10" x14ac:dyDescent="0.25">
      <c r="E448" s="100"/>
      <c r="F448" s="100"/>
      <c r="G448" s="101"/>
      <c r="H448" s="5"/>
      <c r="I448" s="5"/>
      <c r="J448" s="107"/>
    </row>
    <row r="449" spans="5:10" x14ac:dyDescent="0.25">
      <c r="E449" s="100"/>
      <c r="F449" s="100"/>
      <c r="G449" s="101"/>
      <c r="H449" s="5"/>
      <c r="I449" s="5"/>
      <c r="J449" s="107"/>
    </row>
    <row r="450" spans="5:10" x14ac:dyDescent="0.25">
      <c r="E450" s="100"/>
      <c r="F450" s="100"/>
      <c r="G450" s="101"/>
      <c r="H450" s="5"/>
      <c r="I450" s="5"/>
      <c r="J450" s="107"/>
    </row>
    <row r="451" spans="5:10" x14ac:dyDescent="0.25">
      <c r="E451" s="100"/>
      <c r="F451" s="100"/>
      <c r="G451" s="101"/>
      <c r="H451" s="5"/>
      <c r="I451" s="5"/>
      <c r="J451" s="107"/>
    </row>
    <row r="452" spans="5:10" x14ac:dyDescent="0.25">
      <c r="E452" s="100"/>
      <c r="F452" s="100"/>
      <c r="G452" s="101"/>
      <c r="H452" s="5"/>
      <c r="I452" s="5"/>
      <c r="J452" s="107"/>
    </row>
    <row r="453" spans="5:10" x14ac:dyDescent="0.25">
      <c r="E453" s="100"/>
      <c r="F453" s="100"/>
      <c r="G453" s="101"/>
      <c r="H453" s="5"/>
      <c r="I453" s="5"/>
      <c r="J453" s="107"/>
    </row>
    <row r="454" spans="5:10" x14ac:dyDescent="0.25">
      <c r="E454" s="100"/>
      <c r="F454" s="100"/>
      <c r="G454" s="101"/>
      <c r="H454" s="5"/>
      <c r="I454" s="5"/>
      <c r="J454" s="107"/>
    </row>
    <row r="455" spans="5:10" x14ac:dyDescent="0.25">
      <c r="E455" s="100"/>
      <c r="F455" s="100"/>
      <c r="G455" s="101"/>
      <c r="H455" s="5"/>
      <c r="I455" s="5"/>
      <c r="J455" s="107"/>
    </row>
    <row r="456" spans="5:10" x14ac:dyDescent="0.25">
      <c r="E456" s="100"/>
      <c r="F456" s="100"/>
      <c r="G456" s="101"/>
      <c r="H456" s="5"/>
      <c r="I456" s="5"/>
      <c r="J456" s="107"/>
    </row>
    <row r="457" spans="5:10" x14ac:dyDescent="0.25">
      <c r="E457" s="100"/>
      <c r="F457" s="100"/>
      <c r="G457" s="101"/>
      <c r="H457" s="5"/>
      <c r="I457" s="5"/>
      <c r="J457" s="107"/>
    </row>
    <row r="458" spans="5:10" x14ac:dyDescent="0.25">
      <c r="E458" s="100"/>
      <c r="F458" s="100"/>
      <c r="G458" s="101"/>
      <c r="H458" s="5"/>
      <c r="I458" s="5"/>
      <c r="J458" s="107"/>
    </row>
    <row r="459" spans="5:10" x14ac:dyDescent="0.25">
      <c r="E459" s="100"/>
      <c r="F459" s="100"/>
      <c r="G459" s="101"/>
      <c r="H459" s="5"/>
      <c r="I459" s="5"/>
      <c r="J459" s="107"/>
    </row>
    <row r="460" spans="5:10" x14ac:dyDescent="0.25">
      <c r="E460" s="100"/>
      <c r="F460" s="100"/>
      <c r="G460" s="101"/>
      <c r="H460" s="5"/>
      <c r="I460" s="5"/>
      <c r="J460" s="107"/>
    </row>
    <row r="461" spans="5:10" x14ac:dyDescent="0.25">
      <c r="E461" s="100"/>
      <c r="F461" s="100"/>
      <c r="G461" s="101"/>
      <c r="H461" s="5"/>
      <c r="I461" s="5"/>
      <c r="J461" s="107"/>
    </row>
    <row r="462" spans="5:10" x14ac:dyDescent="0.25">
      <c r="E462" s="100"/>
      <c r="F462" s="100"/>
      <c r="G462" s="101"/>
      <c r="H462" s="5"/>
      <c r="I462" s="5"/>
      <c r="J462" s="107"/>
    </row>
    <row r="463" spans="5:10" x14ac:dyDescent="0.25">
      <c r="E463" s="100"/>
      <c r="F463" s="100"/>
      <c r="G463" s="101"/>
      <c r="H463" s="5"/>
      <c r="I463" s="5"/>
      <c r="J463" s="107"/>
    </row>
    <row r="464" spans="5:10" x14ac:dyDescent="0.25">
      <c r="E464" s="100"/>
      <c r="F464" s="100"/>
      <c r="G464" s="101"/>
      <c r="H464" s="5"/>
      <c r="I464" s="5"/>
      <c r="J464" s="107"/>
    </row>
    <row r="465" spans="5:10" x14ac:dyDescent="0.25">
      <c r="E465" s="100"/>
      <c r="F465" s="100"/>
      <c r="G465" s="101"/>
      <c r="H465" s="5"/>
      <c r="I465" s="5"/>
      <c r="J465" s="107"/>
    </row>
    <row r="466" spans="5:10" x14ac:dyDescent="0.25">
      <c r="E466" s="100"/>
      <c r="F466" s="100"/>
      <c r="G466" s="101"/>
      <c r="H466" s="5"/>
      <c r="I466" s="5"/>
      <c r="J466" s="107"/>
    </row>
    <row r="467" spans="5:10" x14ac:dyDescent="0.25">
      <c r="E467" s="100"/>
      <c r="F467" s="100"/>
      <c r="G467" s="101"/>
      <c r="H467" s="5"/>
      <c r="I467" s="5"/>
      <c r="J467" s="107"/>
    </row>
    <row r="468" spans="5:10" x14ac:dyDescent="0.25">
      <c r="E468" s="100"/>
      <c r="F468" s="100"/>
      <c r="G468" s="101"/>
      <c r="H468" s="5"/>
      <c r="I468" s="5"/>
      <c r="J468" s="107"/>
    </row>
    <row r="469" spans="5:10" x14ac:dyDescent="0.25">
      <c r="E469" s="100"/>
      <c r="F469" s="100"/>
      <c r="G469" s="101"/>
      <c r="H469" s="5"/>
      <c r="I469" s="5"/>
      <c r="J469" s="107"/>
    </row>
    <row r="470" spans="5:10" x14ac:dyDescent="0.25">
      <c r="E470" s="100"/>
      <c r="F470" s="100"/>
      <c r="G470" s="101"/>
      <c r="H470" s="5"/>
      <c r="I470" s="5"/>
      <c r="J470" s="107"/>
    </row>
    <row r="471" spans="5:10" x14ac:dyDescent="0.25">
      <c r="E471" s="100"/>
      <c r="F471" s="100"/>
      <c r="G471" s="101"/>
      <c r="H471" s="5"/>
      <c r="I471" s="5"/>
      <c r="J471" s="107"/>
    </row>
    <row r="472" spans="5:10" x14ac:dyDescent="0.25">
      <c r="E472" s="100"/>
      <c r="F472" s="100"/>
      <c r="G472" s="101"/>
      <c r="H472" s="5"/>
      <c r="I472" s="5"/>
      <c r="J472" s="107"/>
    </row>
    <row r="473" spans="5:10" x14ac:dyDescent="0.25">
      <c r="E473" s="100"/>
      <c r="F473" s="100"/>
      <c r="G473" s="101"/>
      <c r="H473" s="5"/>
      <c r="I473" s="5"/>
      <c r="J473" s="107"/>
    </row>
    <row r="474" spans="5:10" x14ac:dyDescent="0.25">
      <c r="E474" s="100"/>
      <c r="F474" s="100"/>
      <c r="G474" s="101"/>
      <c r="H474" s="5"/>
      <c r="I474" s="5"/>
      <c r="J474" s="107"/>
    </row>
    <row r="475" spans="5:10" x14ac:dyDescent="0.25">
      <c r="E475" s="100"/>
      <c r="F475" s="100"/>
      <c r="G475" s="101"/>
      <c r="H475" s="5"/>
      <c r="I475" s="5"/>
      <c r="J475" s="107"/>
    </row>
    <row r="476" spans="5:10" x14ac:dyDescent="0.25">
      <c r="E476" s="100"/>
      <c r="F476" s="100"/>
      <c r="G476" s="101"/>
      <c r="H476" s="5"/>
      <c r="I476" s="5"/>
      <c r="J476" s="107"/>
    </row>
    <row r="477" spans="5:10" x14ac:dyDescent="0.25">
      <c r="E477" s="100"/>
      <c r="F477" s="100"/>
      <c r="G477" s="101"/>
      <c r="H477" s="5"/>
      <c r="I477" s="5"/>
      <c r="J477" s="107"/>
    </row>
    <row r="478" spans="5:10" x14ac:dyDescent="0.25">
      <c r="E478" s="100"/>
      <c r="F478" s="100"/>
      <c r="G478" s="101"/>
      <c r="H478" s="5"/>
      <c r="I478" s="5"/>
      <c r="J478" s="107"/>
    </row>
    <row r="479" spans="5:10" x14ac:dyDescent="0.25">
      <c r="E479" s="100"/>
      <c r="F479" s="100"/>
      <c r="G479" s="101"/>
      <c r="H479" s="5"/>
      <c r="I479" s="5"/>
      <c r="J479" s="107"/>
    </row>
    <row r="480" spans="5:10" x14ac:dyDescent="0.25">
      <c r="E480" s="100"/>
      <c r="F480" s="100"/>
      <c r="G480" s="101"/>
      <c r="H480" s="5"/>
      <c r="I480" s="5"/>
      <c r="J480" s="107"/>
    </row>
    <row r="481" spans="5:10" x14ac:dyDescent="0.25">
      <c r="E481" s="100"/>
      <c r="F481" s="100"/>
      <c r="G481" s="101"/>
      <c r="H481" s="5"/>
      <c r="I481" s="5"/>
      <c r="J481" s="107"/>
    </row>
    <row r="482" spans="5:10" x14ac:dyDescent="0.25">
      <c r="E482" s="100"/>
      <c r="F482" s="100"/>
      <c r="G482" s="101"/>
      <c r="H482" s="5"/>
      <c r="I482" s="5"/>
      <c r="J482" s="107"/>
    </row>
    <row r="483" spans="5:10" x14ac:dyDescent="0.25">
      <c r="E483" s="100"/>
      <c r="F483" s="100"/>
      <c r="G483" s="101"/>
      <c r="H483" s="5"/>
      <c r="I483" s="5"/>
      <c r="J483" s="107"/>
    </row>
    <row r="484" spans="5:10" x14ac:dyDescent="0.25">
      <c r="E484" s="100"/>
      <c r="F484" s="100"/>
      <c r="G484" s="101"/>
      <c r="H484" s="5"/>
      <c r="I484" s="5"/>
      <c r="J484" s="107"/>
    </row>
    <row r="485" spans="5:10" x14ac:dyDescent="0.25">
      <c r="E485" s="100"/>
      <c r="F485" s="100"/>
      <c r="G485" s="101"/>
      <c r="H485" s="5"/>
      <c r="I485" s="5"/>
      <c r="J485" s="107"/>
    </row>
    <row r="486" spans="5:10" x14ac:dyDescent="0.25">
      <c r="E486" s="100"/>
      <c r="F486" s="100"/>
      <c r="G486" s="101"/>
      <c r="H486" s="5"/>
      <c r="I486" s="5"/>
      <c r="J486" s="107"/>
    </row>
    <row r="487" spans="5:10" x14ac:dyDescent="0.25">
      <c r="E487" s="100"/>
      <c r="F487" s="100"/>
      <c r="G487" s="101"/>
      <c r="H487" s="5"/>
      <c r="I487" s="5"/>
      <c r="J487" s="107"/>
    </row>
    <row r="488" spans="5:10" x14ac:dyDescent="0.25">
      <c r="E488" s="100"/>
      <c r="F488" s="100"/>
      <c r="G488" s="101"/>
      <c r="H488" s="5"/>
      <c r="I488" s="5"/>
      <c r="J488" s="107"/>
    </row>
    <row r="489" spans="5:10" x14ac:dyDescent="0.25">
      <c r="E489" s="100"/>
      <c r="F489" s="100"/>
      <c r="G489" s="101"/>
      <c r="H489" s="5"/>
      <c r="I489" s="5"/>
      <c r="J489" s="107"/>
    </row>
    <row r="490" spans="5:10" x14ac:dyDescent="0.25">
      <c r="E490" s="100"/>
      <c r="F490" s="100"/>
      <c r="G490" s="101"/>
      <c r="H490" s="5"/>
      <c r="I490" s="5"/>
      <c r="J490" s="107"/>
    </row>
    <row r="491" spans="5:10" x14ac:dyDescent="0.25">
      <c r="E491" s="100"/>
      <c r="F491" s="100"/>
      <c r="G491" s="101"/>
      <c r="H491" s="5"/>
      <c r="I491" s="5"/>
      <c r="J491" s="107"/>
    </row>
    <row r="492" spans="5:10" x14ac:dyDescent="0.25">
      <c r="E492" s="100"/>
      <c r="F492" s="100"/>
      <c r="G492" s="101"/>
      <c r="H492" s="5"/>
      <c r="I492" s="5"/>
      <c r="J492" s="107"/>
    </row>
    <row r="493" spans="5:10" x14ac:dyDescent="0.25">
      <c r="E493" s="100"/>
      <c r="F493" s="100"/>
      <c r="G493" s="101"/>
      <c r="H493" s="5"/>
      <c r="I493" s="5"/>
      <c r="J493" s="107"/>
    </row>
    <row r="494" spans="5:10" x14ac:dyDescent="0.25">
      <c r="E494" s="100"/>
      <c r="F494" s="100"/>
      <c r="G494" s="101"/>
      <c r="H494" s="5"/>
      <c r="I494" s="5"/>
      <c r="J494" s="107"/>
    </row>
    <row r="495" spans="5:10" x14ac:dyDescent="0.25">
      <c r="E495" s="100"/>
      <c r="F495" s="100"/>
      <c r="G495" s="101"/>
      <c r="H495" s="5"/>
      <c r="I495" s="5"/>
      <c r="J495" s="107"/>
    </row>
    <row r="496" spans="5:10" x14ac:dyDescent="0.25">
      <c r="E496" s="100"/>
      <c r="F496" s="100"/>
      <c r="G496" s="101"/>
      <c r="H496" s="5"/>
      <c r="I496" s="5"/>
      <c r="J496" s="107"/>
    </row>
    <row r="497" spans="5:10" x14ac:dyDescent="0.25">
      <c r="E497" s="100"/>
      <c r="F497" s="100"/>
      <c r="G497" s="101"/>
      <c r="H497" s="5"/>
      <c r="I497" s="5"/>
      <c r="J497" s="107"/>
    </row>
    <row r="498" spans="5:10" x14ac:dyDescent="0.25">
      <c r="E498" s="100"/>
      <c r="F498" s="100"/>
      <c r="G498" s="101"/>
      <c r="H498" s="5"/>
      <c r="I498" s="5"/>
      <c r="J498" s="107"/>
    </row>
    <row r="499" spans="5:10" x14ac:dyDescent="0.25">
      <c r="E499" s="100"/>
      <c r="F499" s="100"/>
      <c r="G499" s="101"/>
      <c r="H499" s="5"/>
      <c r="I499" s="5"/>
      <c r="J499" s="107"/>
    </row>
    <row r="500" spans="5:10" x14ac:dyDescent="0.25">
      <c r="E500" s="100"/>
      <c r="F500" s="100"/>
      <c r="G500" s="101"/>
      <c r="H500" s="5"/>
      <c r="I500" s="5"/>
      <c r="J500" s="107"/>
    </row>
    <row r="501" spans="5:10" x14ac:dyDescent="0.25">
      <c r="E501" s="100"/>
      <c r="F501" s="100"/>
      <c r="G501" s="101"/>
      <c r="H501" s="5"/>
      <c r="I501" s="5"/>
      <c r="J501" s="107"/>
    </row>
    <row r="502" spans="5:10" x14ac:dyDescent="0.25">
      <c r="E502" s="100"/>
      <c r="F502" s="100"/>
      <c r="G502" s="101"/>
      <c r="H502" s="5"/>
      <c r="I502" s="5"/>
      <c r="J502" s="107"/>
    </row>
    <row r="503" spans="5:10" x14ac:dyDescent="0.25">
      <c r="E503" s="100"/>
      <c r="F503" s="100"/>
      <c r="G503" s="101"/>
      <c r="H503" s="5"/>
      <c r="I503" s="5"/>
      <c r="J503" s="107"/>
    </row>
    <row r="504" spans="5:10" x14ac:dyDescent="0.25">
      <c r="E504" s="100"/>
      <c r="F504" s="100"/>
      <c r="G504" s="101"/>
      <c r="H504" s="5"/>
      <c r="I504" s="5"/>
      <c r="J504" s="107"/>
    </row>
    <row r="505" spans="5:10" x14ac:dyDescent="0.25">
      <c r="E505" s="100"/>
      <c r="F505" s="100"/>
      <c r="G505" s="101"/>
      <c r="H505" s="5"/>
      <c r="I505" s="5"/>
      <c r="J505" s="107"/>
    </row>
    <row r="506" spans="5:10" x14ac:dyDescent="0.25">
      <c r="E506" s="100"/>
      <c r="F506" s="100"/>
      <c r="G506" s="101"/>
      <c r="H506" s="5"/>
      <c r="I506" s="5"/>
      <c r="J506" s="107"/>
    </row>
    <row r="507" spans="5:10" x14ac:dyDescent="0.25">
      <c r="E507" s="100"/>
      <c r="F507" s="100"/>
      <c r="G507" s="101"/>
      <c r="H507" s="5"/>
      <c r="I507" s="5"/>
      <c r="J507" s="107"/>
    </row>
    <row r="508" spans="5:10" x14ac:dyDescent="0.25">
      <c r="E508" s="100"/>
      <c r="F508" s="100"/>
      <c r="G508" s="101"/>
      <c r="H508" s="5"/>
      <c r="I508" s="5"/>
      <c r="J508" s="107"/>
    </row>
    <row r="509" spans="5:10" x14ac:dyDescent="0.25">
      <c r="E509" s="100"/>
      <c r="F509" s="100"/>
      <c r="G509" s="101"/>
      <c r="H509" s="5"/>
      <c r="I509" s="5"/>
      <c r="J509" s="107"/>
    </row>
    <row r="510" spans="5:10" x14ac:dyDescent="0.25">
      <c r="E510" s="100"/>
      <c r="F510" s="100"/>
      <c r="G510" s="101"/>
      <c r="H510" s="5"/>
      <c r="I510" s="5"/>
      <c r="J510" s="107"/>
    </row>
    <row r="511" spans="5:10" x14ac:dyDescent="0.25">
      <c r="E511" s="100"/>
      <c r="F511" s="100"/>
      <c r="G511" s="101"/>
      <c r="H511" s="5"/>
      <c r="I511" s="5"/>
      <c r="J511" s="107"/>
    </row>
    <row r="512" spans="5:10" x14ac:dyDescent="0.25">
      <c r="E512" s="100"/>
      <c r="F512" s="100"/>
      <c r="G512" s="101"/>
      <c r="H512" s="5"/>
      <c r="I512" s="5"/>
      <c r="J512" s="107"/>
    </row>
    <row r="513" spans="5:10" x14ac:dyDescent="0.25">
      <c r="E513" s="100"/>
      <c r="F513" s="100"/>
      <c r="G513" s="101"/>
      <c r="H513" s="5"/>
      <c r="I513" s="5"/>
      <c r="J513" s="107"/>
    </row>
    <row r="514" spans="5:10" x14ac:dyDescent="0.25">
      <c r="E514" s="100"/>
      <c r="F514" s="100"/>
      <c r="G514" s="101"/>
      <c r="H514" s="5"/>
      <c r="I514" s="5"/>
      <c r="J514" s="107"/>
    </row>
    <row r="515" spans="5:10" x14ac:dyDescent="0.25">
      <c r="E515" s="100"/>
      <c r="F515" s="100"/>
      <c r="G515" s="101"/>
      <c r="H515" s="5"/>
      <c r="I515" s="5"/>
      <c r="J515" s="107"/>
    </row>
    <row r="516" spans="5:10" x14ac:dyDescent="0.25">
      <c r="E516" s="100"/>
      <c r="F516" s="100"/>
      <c r="G516" s="101"/>
      <c r="H516" s="5"/>
      <c r="I516" s="5"/>
      <c r="J516" s="107"/>
    </row>
    <row r="517" spans="5:10" x14ac:dyDescent="0.25">
      <c r="E517" s="100"/>
      <c r="F517" s="100"/>
      <c r="G517" s="101"/>
      <c r="H517" s="5"/>
      <c r="I517" s="5"/>
      <c r="J517" s="107"/>
    </row>
    <row r="518" spans="5:10" x14ac:dyDescent="0.25">
      <c r="E518" s="100"/>
      <c r="F518" s="100"/>
      <c r="G518" s="101"/>
      <c r="H518" s="5"/>
      <c r="I518" s="5"/>
      <c r="J518" s="107"/>
    </row>
    <row r="519" spans="5:10" x14ac:dyDescent="0.25">
      <c r="E519" s="100"/>
      <c r="F519" s="100"/>
      <c r="G519" s="101"/>
      <c r="H519" s="5"/>
      <c r="I519" s="5"/>
      <c r="J519" s="107"/>
    </row>
    <row r="520" spans="5:10" x14ac:dyDescent="0.25">
      <c r="E520" s="100"/>
      <c r="F520" s="100"/>
      <c r="G520" s="101"/>
      <c r="H520" s="5"/>
      <c r="I520" s="5"/>
      <c r="J520" s="107"/>
    </row>
    <row r="521" spans="5:10" x14ac:dyDescent="0.25">
      <c r="E521" s="100"/>
      <c r="F521" s="100"/>
      <c r="G521" s="101"/>
      <c r="H521" s="5"/>
      <c r="I521" s="5"/>
      <c r="J521" s="107"/>
    </row>
    <row r="522" spans="5:10" x14ac:dyDescent="0.25">
      <c r="E522" s="100"/>
      <c r="F522" s="100"/>
      <c r="G522" s="101"/>
      <c r="H522" s="5"/>
      <c r="I522" s="5"/>
      <c r="J522" s="107"/>
    </row>
    <row r="523" spans="5:10" x14ac:dyDescent="0.25">
      <c r="E523" s="100"/>
      <c r="F523" s="100"/>
      <c r="G523" s="101"/>
      <c r="H523" s="5"/>
      <c r="I523" s="5"/>
      <c r="J523" s="107"/>
    </row>
    <row r="524" spans="5:10" x14ac:dyDescent="0.25">
      <c r="E524" s="100"/>
      <c r="F524" s="100"/>
      <c r="G524" s="101"/>
      <c r="H524" s="5"/>
      <c r="I524" s="5"/>
      <c r="J524" s="107"/>
    </row>
    <row r="525" spans="5:10" x14ac:dyDescent="0.25">
      <c r="E525" s="100"/>
      <c r="F525" s="100"/>
      <c r="G525" s="101"/>
      <c r="H525" s="5"/>
      <c r="I525" s="5"/>
      <c r="J525" s="107"/>
    </row>
    <row r="526" spans="5:10" x14ac:dyDescent="0.25">
      <c r="E526" s="100"/>
      <c r="F526" s="100"/>
      <c r="G526" s="101"/>
      <c r="H526" s="5"/>
      <c r="I526" s="5"/>
      <c r="J526" s="107"/>
    </row>
    <row r="527" spans="5:10" x14ac:dyDescent="0.25">
      <c r="E527" s="100"/>
      <c r="F527" s="100"/>
      <c r="G527" s="101"/>
      <c r="H527" s="5"/>
      <c r="I527" s="5"/>
      <c r="J527" s="107"/>
    </row>
    <row r="528" spans="5:10" x14ac:dyDescent="0.25">
      <c r="E528" s="100"/>
      <c r="F528" s="100"/>
      <c r="G528" s="101"/>
      <c r="H528" s="5"/>
      <c r="I528" s="5"/>
      <c r="J528" s="107"/>
    </row>
    <row r="529" spans="5:10" x14ac:dyDescent="0.25">
      <c r="E529" s="100"/>
      <c r="F529" s="100"/>
      <c r="G529" s="101"/>
      <c r="H529" s="5"/>
      <c r="I529" s="5"/>
      <c r="J529" s="107"/>
    </row>
    <row r="530" spans="5:10" x14ac:dyDescent="0.25">
      <c r="E530" s="100"/>
      <c r="F530" s="100"/>
      <c r="G530" s="101"/>
      <c r="H530" s="5"/>
      <c r="I530" s="5"/>
      <c r="J530" s="107"/>
    </row>
    <row r="531" spans="5:10" x14ac:dyDescent="0.25">
      <c r="E531" s="100"/>
      <c r="F531" s="100"/>
      <c r="G531" s="101"/>
      <c r="H531" s="5"/>
      <c r="I531" s="5"/>
      <c r="J531" s="107"/>
    </row>
    <row r="532" spans="5:10" x14ac:dyDescent="0.25">
      <c r="E532" s="100"/>
      <c r="F532" s="100"/>
      <c r="G532" s="101"/>
      <c r="H532" s="5"/>
      <c r="I532" s="5"/>
      <c r="J532" s="107"/>
    </row>
    <row r="533" spans="5:10" x14ac:dyDescent="0.25">
      <c r="E533" s="100"/>
      <c r="F533" s="100"/>
      <c r="G533" s="101"/>
      <c r="H533" s="5"/>
      <c r="I533" s="5"/>
      <c r="J533" s="107"/>
    </row>
    <row r="534" spans="5:10" x14ac:dyDescent="0.25">
      <c r="E534" s="100"/>
      <c r="F534" s="100"/>
      <c r="G534" s="101"/>
      <c r="H534" s="5"/>
      <c r="I534" s="5"/>
      <c r="J534" s="107"/>
    </row>
    <row r="535" spans="5:10" x14ac:dyDescent="0.25">
      <c r="E535" s="100"/>
      <c r="F535" s="100"/>
      <c r="G535" s="101"/>
      <c r="H535" s="5"/>
      <c r="I535" s="5"/>
      <c r="J535" s="107"/>
    </row>
    <row r="536" spans="5:10" x14ac:dyDescent="0.25">
      <c r="E536" s="100"/>
      <c r="F536" s="100"/>
      <c r="G536" s="101"/>
      <c r="H536" s="5"/>
      <c r="I536" s="5"/>
      <c r="J536" s="107"/>
    </row>
    <row r="537" spans="5:10" x14ac:dyDescent="0.25">
      <c r="E537" s="100"/>
      <c r="F537" s="100"/>
      <c r="G537" s="101"/>
      <c r="H537" s="5"/>
      <c r="I537" s="5"/>
      <c r="J537" s="107"/>
    </row>
    <row r="538" spans="5:10" x14ac:dyDescent="0.25">
      <c r="E538" s="100"/>
      <c r="F538" s="100"/>
      <c r="G538" s="101"/>
      <c r="H538" s="5"/>
      <c r="I538" s="5"/>
      <c r="J538" s="107"/>
    </row>
    <row r="539" spans="5:10" x14ac:dyDescent="0.25">
      <c r="E539" s="100"/>
      <c r="F539" s="100"/>
      <c r="G539" s="101"/>
      <c r="H539" s="5"/>
      <c r="I539" s="5"/>
      <c r="J539" s="107"/>
    </row>
    <row r="540" spans="5:10" x14ac:dyDescent="0.25">
      <c r="E540" s="100"/>
      <c r="F540" s="100"/>
      <c r="G540" s="101"/>
      <c r="H540" s="5"/>
      <c r="I540" s="5"/>
      <c r="J540" s="107"/>
    </row>
    <row r="541" spans="5:10" x14ac:dyDescent="0.25">
      <c r="E541" s="100"/>
      <c r="F541" s="100"/>
      <c r="G541" s="101"/>
      <c r="H541" s="5"/>
      <c r="I541" s="5"/>
      <c r="J541" s="107"/>
    </row>
    <row r="542" spans="5:10" x14ac:dyDescent="0.25">
      <c r="E542" s="100"/>
      <c r="F542" s="100"/>
      <c r="G542" s="101"/>
      <c r="H542" s="5"/>
      <c r="I542" s="5"/>
      <c r="J542" s="107"/>
    </row>
    <row r="543" spans="5:10" x14ac:dyDescent="0.25">
      <c r="E543" s="100"/>
      <c r="F543" s="100"/>
      <c r="G543" s="101"/>
      <c r="H543" s="5"/>
      <c r="I543" s="5"/>
      <c r="J543" s="107"/>
    </row>
    <row r="544" spans="5:10" x14ac:dyDescent="0.25">
      <c r="E544" s="100"/>
      <c r="F544" s="100"/>
      <c r="G544" s="101"/>
      <c r="H544" s="5"/>
      <c r="I544" s="5"/>
      <c r="J544" s="107"/>
    </row>
    <row r="545" spans="5:10" x14ac:dyDescent="0.25">
      <c r="E545" s="100"/>
      <c r="F545" s="100"/>
      <c r="G545" s="101"/>
      <c r="H545" s="5"/>
      <c r="I545" s="5"/>
      <c r="J545" s="107"/>
    </row>
    <row r="546" spans="5:10" x14ac:dyDescent="0.25">
      <c r="E546" s="100"/>
      <c r="F546" s="100"/>
      <c r="G546" s="101"/>
      <c r="H546" s="5"/>
      <c r="I546" s="5"/>
      <c r="J546" s="107"/>
    </row>
    <row r="547" spans="5:10" x14ac:dyDescent="0.25">
      <c r="E547" s="100"/>
      <c r="F547" s="100"/>
      <c r="G547" s="101"/>
      <c r="H547" s="5"/>
      <c r="I547" s="5"/>
      <c r="J547" s="107"/>
    </row>
    <row r="548" spans="5:10" x14ac:dyDescent="0.25">
      <c r="E548" s="100"/>
      <c r="F548" s="100"/>
      <c r="G548" s="101"/>
      <c r="H548" s="5"/>
      <c r="I548" s="5"/>
      <c r="J548" s="107"/>
    </row>
    <row r="549" spans="5:10" x14ac:dyDescent="0.25">
      <c r="E549" s="100"/>
      <c r="F549" s="100"/>
      <c r="G549" s="101"/>
      <c r="H549" s="5"/>
      <c r="I549" s="5"/>
      <c r="J549" s="107"/>
    </row>
    <row r="550" spans="5:10" x14ac:dyDescent="0.25">
      <c r="E550" s="100"/>
      <c r="F550" s="100"/>
      <c r="G550" s="101"/>
      <c r="H550" s="5"/>
      <c r="I550" s="5"/>
      <c r="J550" s="107"/>
    </row>
    <row r="551" spans="5:10" x14ac:dyDescent="0.25">
      <c r="E551" s="100"/>
      <c r="F551" s="100"/>
      <c r="G551" s="101"/>
      <c r="H551" s="5"/>
      <c r="I551" s="5"/>
      <c r="J551" s="107"/>
    </row>
    <row r="552" spans="5:10" x14ac:dyDescent="0.25">
      <c r="E552" s="100"/>
      <c r="F552" s="100"/>
      <c r="G552" s="101"/>
      <c r="H552" s="5"/>
      <c r="I552" s="5"/>
      <c r="J552" s="107"/>
    </row>
    <row r="553" spans="5:10" x14ac:dyDescent="0.25">
      <c r="E553" s="100"/>
      <c r="F553" s="100"/>
      <c r="G553" s="101"/>
      <c r="H553" s="5"/>
      <c r="I553" s="5"/>
      <c r="J553" s="107"/>
    </row>
    <row r="554" spans="5:10" x14ac:dyDescent="0.25">
      <c r="E554" s="100"/>
      <c r="F554" s="100"/>
      <c r="G554" s="101"/>
      <c r="H554" s="5"/>
      <c r="I554" s="5"/>
      <c r="J554" s="107"/>
    </row>
    <row r="555" spans="5:10" x14ac:dyDescent="0.25">
      <c r="E555" s="100"/>
      <c r="F555" s="100"/>
      <c r="G555" s="101"/>
      <c r="H555" s="5"/>
      <c r="I555" s="5"/>
      <c r="J555" s="107"/>
    </row>
    <row r="556" spans="5:10" x14ac:dyDescent="0.25">
      <c r="E556" s="100"/>
      <c r="F556" s="100"/>
      <c r="G556" s="101"/>
      <c r="H556" s="5"/>
      <c r="I556" s="5"/>
      <c r="J556" s="107"/>
    </row>
    <row r="557" spans="5:10" x14ac:dyDescent="0.25">
      <c r="E557" s="100"/>
      <c r="F557" s="100"/>
      <c r="G557" s="101"/>
      <c r="H557" s="5"/>
      <c r="I557" s="5"/>
      <c r="J557" s="107"/>
    </row>
    <row r="558" spans="5:10" x14ac:dyDescent="0.25">
      <c r="E558" s="100"/>
      <c r="F558" s="100"/>
      <c r="G558" s="101"/>
      <c r="H558" s="5"/>
      <c r="I558" s="5"/>
      <c r="J558" s="107"/>
    </row>
    <row r="559" spans="5:10" x14ac:dyDescent="0.25">
      <c r="E559" s="100"/>
      <c r="F559" s="100"/>
      <c r="G559" s="101"/>
      <c r="H559" s="5"/>
      <c r="I559" s="5"/>
      <c r="J559" s="107"/>
    </row>
    <row r="560" spans="5:10" x14ac:dyDescent="0.25">
      <c r="E560" s="100"/>
      <c r="F560" s="100"/>
      <c r="G560" s="101"/>
      <c r="H560" s="5"/>
      <c r="I560" s="5"/>
      <c r="J560" s="107"/>
    </row>
    <row r="561" spans="5:10" x14ac:dyDescent="0.25">
      <c r="E561" s="100"/>
      <c r="F561" s="100"/>
      <c r="G561" s="101"/>
      <c r="H561" s="5"/>
      <c r="I561" s="5"/>
      <c r="J561" s="107"/>
    </row>
    <row r="562" spans="5:10" x14ac:dyDescent="0.25">
      <c r="E562" s="100"/>
      <c r="F562" s="100"/>
      <c r="G562" s="101"/>
      <c r="H562" s="5"/>
      <c r="I562" s="5"/>
      <c r="J562" s="107"/>
    </row>
    <row r="563" spans="5:10" x14ac:dyDescent="0.25">
      <c r="E563" s="100"/>
      <c r="F563" s="100"/>
      <c r="G563" s="101"/>
      <c r="H563" s="5"/>
      <c r="I563" s="5"/>
      <c r="J563" s="107"/>
    </row>
    <row r="564" spans="5:10" x14ac:dyDescent="0.25">
      <c r="E564" s="100"/>
      <c r="F564" s="100"/>
      <c r="G564" s="101"/>
      <c r="H564" s="5"/>
      <c r="I564" s="5"/>
      <c r="J564" s="107"/>
    </row>
    <row r="565" spans="5:10" x14ac:dyDescent="0.25">
      <c r="E565" s="100"/>
      <c r="F565" s="100"/>
      <c r="G565" s="101"/>
      <c r="H565" s="5"/>
      <c r="I565" s="5"/>
      <c r="J565" s="107"/>
    </row>
    <row r="566" spans="5:10" x14ac:dyDescent="0.25">
      <c r="E566" s="100"/>
      <c r="F566" s="100"/>
      <c r="G566" s="101"/>
      <c r="H566" s="5"/>
      <c r="I566" s="5"/>
      <c r="J566" s="107"/>
    </row>
    <row r="567" spans="5:10" x14ac:dyDescent="0.25">
      <c r="E567" s="100"/>
      <c r="F567" s="100"/>
      <c r="G567" s="101"/>
      <c r="H567" s="5"/>
      <c r="I567" s="5"/>
      <c r="J567" s="107"/>
    </row>
    <row r="568" spans="5:10" x14ac:dyDescent="0.25">
      <c r="E568" s="100"/>
      <c r="F568" s="100"/>
      <c r="G568" s="101"/>
      <c r="H568" s="5"/>
      <c r="I568" s="5"/>
      <c r="J568" s="107"/>
    </row>
    <row r="569" spans="5:10" x14ac:dyDescent="0.25">
      <c r="E569" s="100"/>
      <c r="F569" s="100"/>
      <c r="G569" s="101"/>
      <c r="H569" s="5"/>
      <c r="I569" s="5"/>
      <c r="J569" s="107"/>
    </row>
    <row r="570" spans="5:10" x14ac:dyDescent="0.25">
      <c r="E570" s="100"/>
      <c r="F570" s="100"/>
      <c r="G570" s="101"/>
      <c r="H570" s="5"/>
      <c r="I570" s="5"/>
      <c r="J570" s="107"/>
    </row>
    <row r="571" spans="5:10" x14ac:dyDescent="0.25">
      <c r="E571" s="100"/>
      <c r="F571" s="100"/>
      <c r="G571" s="101"/>
      <c r="H571" s="5"/>
      <c r="I571" s="5"/>
      <c r="J571" s="107"/>
    </row>
    <row r="572" spans="5:10" x14ac:dyDescent="0.25">
      <c r="E572" s="100"/>
      <c r="F572" s="100"/>
      <c r="G572" s="101"/>
      <c r="H572" s="5"/>
      <c r="I572" s="5"/>
      <c r="J572" s="107"/>
    </row>
    <row r="573" spans="5:10" x14ac:dyDescent="0.25">
      <c r="E573" s="100"/>
      <c r="F573" s="100"/>
      <c r="G573" s="101"/>
      <c r="H573" s="5"/>
      <c r="I573" s="5"/>
      <c r="J573" s="107"/>
    </row>
    <row r="574" spans="5:10" x14ac:dyDescent="0.25">
      <c r="E574" s="100"/>
      <c r="F574" s="100"/>
      <c r="G574" s="101"/>
      <c r="H574" s="5"/>
      <c r="I574" s="5"/>
      <c r="J574" s="107"/>
    </row>
    <row r="575" spans="5:10" x14ac:dyDescent="0.25">
      <c r="E575" s="100"/>
      <c r="F575" s="100"/>
      <c r="G575" s="101"/>
      <c r="H575" s="5"/>
      <c r="I575" s="5"/>
      <c r="J575" s="107"/>
    </row>
    <row r="576" spans="5:10" x14ac:dyDescent="0.25">
      <c r="E576" s="100"/>
      <c r="F576" s="100"/>
      <c r="G576" s="101"/>
      <c r="H576" s="5"/>
      <c r="I576" s="5"/>
      <c r="J576" s="107"/>
    </row>
    <row r="577" spans="5:10" x14ac:dyDescent="0.25">
      <c r="E577" s="100"/>
      <c r="F577" s="100"/>
      <c r="G577" s="101"/>
      <c r="H577" s="5"/>
      <c r="I577" s="5"/>
      <c r="J577" s="107"/>
    </row>
    <row r="578" spans="5:10" x14ac:dyDescent="0.25">
      <c r="E578" s="100"/>
      <c r="F578" s="100"/>
      <c r="G578" s="101"/>
      <c r="H578" s="5"/>
      <c r="I578" s="5"/>
      <c r="J578" s="107"/>
    </row>
    <row r="579" spans="5:10" x14ac:dyDescent="0.25">
      <c r="E579" s="100"/>
      <c r="F579" s="100"/>
      <c r="G579" s="101"/>
      <c r="H579" s="5"/>
      <c r="I579" s="5"/>
      <c r="J579" s="107"/>
    </row>
    <row r="580" spans="5:10" x14ac:dyDescent="0.25">
      <c r="E580" s="100"/>
      <c r="F580" s="100"/>
      <c r="G580" s="101"/>
      <c r="H580" s="5"/>
      <c r="I580" s="5"/>
      <c r="J580" s="107"/>
    </row>
    <row r="581" spans="5:10" x14ac:dyDescent="0.25">
      <c r="E581" s="100"/>
      <c r="F581" s="100"/>
      <c r="G581" s="101"/>
      <c r="H581" s="5"/>
      <c r="I581" s="5"/>
      <c r="J581" s="107"/>
    </row>
    <row r="582" spans="5:10" x14ac:dyDescent="0.25">
      <c r="E582" s="100"/>
      <c r="F582" s="100"/>
      <c r="G582" s="101"/>
      <c r="H582" s="5"/>
      <c r="I582" s="5"/>
      <c r="J582" s="107"/>
    </row>
    <row r="583" spans="5:10" x14ac:dyDescent="0.25">
      <c r="E583" s="100"/>
      <c r="F583" s="100"/>
      <c r="G583" s="101"/>
      <c r="H583" s="5"/>
      <c r="I583" s="5"/>
      <c r="J583" s="107"/>
    </row>
    <row r="584" spans="5:10" x14ac:dyDescent="0.25">
      <c r="E584" s="100"/>
      <c r="F584" s="100"/>
      <c r="G584" s="101"/>
      <c r="H584" s="5"/>
      <c r="I584" s="5"/>
      <c r="J584" s="107"/>
    </row>
    <row r="585" spans="5:10" x14ac:dyDescent="0.25">
      <c r="E585" s="100"/>
      <c r="F585" s="100"/>
      <c r="G585" s="101"/>
      <c r="H585" s="5"/>
      <c r="I585" s="5"/>
      <c r="J585" s="107"/>
    </row>
    <row r="586" spans="5:10" x14ac:dyDescent="0.25">
      <c r="E586" s="100"/>
      <c r="F586" s="100"/>
      <c r="G586" s="101"/>
      <c r="H586" s="5"/>
      <c r="I586" s="5"/>
      <c r="J586" s="107"/>
    </row>
    <row r="587" spans="5:10" x14ac:dyDescent="0.25">
      <c r="E587" s="100"/>
      <c r="F587" s="100"/>
      <c r="G587" s="101"/>
      <c r="H587" s="5"/>
      <c r="I587" s="5"/>
      <c r="J587" s="107"/>
    </row>
    <row r="588" spans="5:10" x14ac:dyDescent="0.25">
      <c r="E588" s="100"/>
      <c r="F588" s="100"/>
      <c r="G588" s="101"/>
      <c r="H588" s="5"/>
      <c r="I588" s="5"/>
      <c r="J588" s="107"/>
    </row>
    <row r="589" spans="5:10" x14ac:dyDescent="0.25">
      <c r="E589" s="100"/>
      <c r="F589" s="100"/>
      <c r="G589" s="101"/>
      <c r="H589" s="5"/>
      <c r="I589" s="5"/>
      <c r="J589" s="107"/>
    </row>
    <row r="590" spans="5:10" x14ac:dyDescent="0.25">
      <c r="E590" s="100"/>
      <c r="F590" s="100"/>
      <c r="G590" s="101"/>
      <c r="H590" s="5"/>
      <c r="I590" s="5"/>
      <c r="J590" s="107"/>
    </row>
    <row r="591" spans="5:10" x14ac:dyDescent="0.25">
      <c r="E591" s="100"/>
      <c r="F591" s="100"/>
      <c r="G591" s="101"/>
      <c r="H591" s="5"/>
      <c r="I591" s="5"/>
      <c r="J591" s="107"/>
    </row>
    <row r="592" spans="5:10" x14ac:dyDescent="0.25">
      <c r="E592" s="100"/>
      <c r="F592" s="100"/>
      <c r="G592" s="101"/>
      <c r="H592" s="5"/>
      <c r="I592" s="5"/>
      <c r="J592" s="107"/>
    </row>
    <row r="593" spans="5:10" x14ac:dyDescent="0.25">
      <c r="E593" s="100"/>
      <c r="F593" s="100"/>
      <c r="G593" s="101"/>
      <c r="H593" s="5"/>
      <c r="I593" s="5"/>
      <c r="J593" s="107"/>
    </row>
    <row r="594" spans="5:10" x14ac:dyDescent="0.25">
      <c r="E594" s="100"/>
      <c r="F594" s="100"/>
      <c r="G594" s="101"/>
      <c r="H594" s="5"/>
      <c r="I594" s="5"/>
      <c r="J594" s="107"/>
    </row>
    <row r="595" spans="5:10" x14ac:dyDescent="0.25">
      <c r="E595" s="100"/>
      <c r="F595" s="100"/>
      <c r="G595" s="101"/>
      <c r="H595" s="5"/>
      <c r="I595" s="5"/>
      <c r="J595" s="107"/>
    </row>
    <row r="596" spans="5:10" x14ac:dyDescent="0.25">
      <c r="E596" s="100"/>
      <c r="F596" s="100"/>
      <c r="G596" s="101"/>
      <c r="H596" s="5"/>
      <c r="I596" s="5"/>
      <c r="J596" s="107"/>
    </row>
    <row r="597" spans="5:10" x14ac:dyDescent="0.25">
      <c r="E597" s="100"/>
      <c r="F597" s="100"/>
      <c r="G597" s="101"/>
      <c r="H597" s="5"/>
      <c r="I597" s="5"/>
      <c r="J597" s="107"/>
    </row>
    <row r="598" spans="5:10" x14ac:dyDescent="0.25">
      <c r="E598" s="100"/>
      <c r="F598" s="100"/>
      <c r="G598" s="101"/>
      <c r="H598" s="5"/>
      <c r="I598" s="5"/>
      <c r="J598" s="107"/>
    </row>
    <row r="599" spans="5:10" x14ac:dyDescent="0.25">
      <c r="E599" s="100"/>
      <c r="F599" s="100"/>
      <c r="G599" s="101"/>
      <c r="H599" s="5"/>
      <c r="I599" s="5"/>
      <c r="J599" s="107"/>
    </row>
    <row r="600" spans="5:10" x14ac:dyDescent="0.25">
      <c r="E600" s="100"/>
      <c r="F600" s="100"/>
      <c r="G600" s="101"/>
      <c r="H600" s="5"/>
      <c r="I600" s="5"/>
      <c r="J600" s="107"/>
    </row>
    <row r="601" spans="5:10" x14ac:dyDescent="0.25">
      <c r="E601" s="100"/>
      <c r="F601" s="100"/>
      <c r="G601" s="101"/>
      <c r="H601" s="5"/>
      <c r="I601" s="5"/>
      <c r="J601" s="107"/>
    </row>
    <row r="602" spans="5:10" x14ac:dyDescent="0.25">
      <c r="E602" s="100"/>
      <c r="F602" s="100"/>
      <c r="G602" s="101"/>
      <c r="H602" s="5"/>
      <c r="I602" s="5"/>
      <c r="J602" s="107"/>
    </row>
    <row r="603" spans="5:10" x14ac:dyDescent="0.25">
      <c r="E603" s="100"/>
      <c r="F603" s="100"/>
      <c r="G603" s="101"/>
      <c r="H603" s="5"/>
      <c r="I603" s="5"/>
      <c r="J603" s="107"/>
    </row>
    <row r="604" spans="5:10" x14ac:dyDescent="0.25">
      <c r="E604" s="100"/>
      <c r="F604" s="100"/>
      <c r="G604" s="101"/>
      <c r="H604" s="5"/>
      <c r="I604" s="5"/>
      <c r="J604" s="107"/>
    </row>
    <row r="605" spans="5:10" x14ac:dyDescent="0.25">
      <c r="E605" s="100"/>
      <c r="F605" s="100"/>
      <c r="G605" s="101"/>
      <c r="H605" s="5"/>
      <c r="I605" s="5"/>
      <c r="J605" s="107"/>
    </row>
    <row r="606" spans="5:10" x14ac:dyDescent="0.25">
      <c r="E606" s="100"/>
      <c r="F606" s="100"/>
      <c r="G606" s="101"/>
      <c r="H606" s="5"/>
      <c r="I606" s="5"/>
      <c r="J606" s="107"/>
    </row>
    <row r="607" spans="5:10" x14ac:dyDescent="0.25">
      <c r="E607" s="100"/>
      <c r="F607" s="100"/>
      <c r="G607" s="101"/>
      <c r="H607" s="5"/>
      <c r="I607" s="5"/>
      <c r="J607" s="107"/>
    </row>
    <row r="608" spans="5:10" x14ac:dyDescent="0.25">
      <c r="E608" s="100"/>
      <c r="F608" s="100"/>
      <c r="G608" s="101"/>
      <c r="H608" s="5"/>
      <c r="I608" s="5"/>
      <c r="J608" s="107"/>
    </row>
    <row r="609" spans="5:10" x14ac:dyDescent="0.25">
      <c r="E609" s="100"/>
      <c r="F609" s="100"/>
      <c r="G609" s="101"/>
      <c r="H609" s="5"/>
      <c r="I609" s="5"/>
      <c r="J609" s="107"/>
    </row>
    <row r="610" spans="5:10" x14ac:dyDescent="0.25">
      <c r="E610" s="100"/>
      <c r="F610" s="100"/>
      <c r="G610" s="101"/>
      <c r="H610" s="5"/>
      <c r="I610" s="5"/>
      <c r="J610" s="107"/>
    </row>
    <row r="611" spans="5:10" x14ac:dyDescent="0.25">
      <c r="E611" s="100"/>
      <c r="F611" s="100"/>
      <c r="G611" s="101"/>
      <c r="H611" s="5"/>
      <c r="I611" s="5"/>
      <c r="J611" s="107"/>
    </row>
    <row r="612" spans="5:10" x14ac:dyDescent="0.25">
      <c r="E612" s="100"/>
      <c r="F612" s="100"/>
      <c r="G612" s="101"/>
      <c r="H612" s="5"/>
      <c r="I612" s="5"/>
      <c r="J612" s="107"/>
    </row>
    <row r="613" spans="5:10" x14ac:dyDescent="0.25">
      <c r="E613" s="100"/>
      <c r="F613" s="100"/>
      <c r="G613" s="101"/>
      <c r="H613" s="5"/>
      <c r="I613" s="5"/>
      <c r="J613" s="107"/>
    </row>
    <row r="614" spans="5:10" x14ac:dyDescent="0.25">
      <c r="E614" s="100"/>
      <c r="F614" s="100"/>
      <c r="G614" s="101"/>
      <c r="H614" s="5"/>
      <c r="I614" s="5"/>
      <c r="J614" s="107"/>
    </row>
    <row r="615" spans="5:10" x14ac:dyDescent="0.25">
      <c r="E615" s="100"/>
      <c r="F615" s="100"/>
      <c r="G615" s="101"/>
      <c r="H615" s="5"/>
      <c r="I615" s="5"/>
      <c r="J615" s="107"/>
    </row>
    <row r="616" spans="5:10" x14ac:dyDescent="0.25">
      <c r="E616" s="100"/>
      <c r="F616" s="100"/>
      <c r="G616" s="101"/>
      <c r="H616" s="5"/>
      <c r="I616" s="5"/>
      <c r="J616" s="107"/>
    </row>
    <row r="617" spans="5:10" x14ac:dyDescent="0.25">
      <c r="E617" s="100"/>
      <c r="F617" s="100"/>
      <c r="G617" s="101"/>
      <c r="H617" s="5"/>
      <c r="I617" s="5"/>
      <c r="J617" s="107"/>
    </row>
    <row r="618" spans="5:10" x14ac:dyDescent="0.25">
      <c r="E618" s="100"/>
      <c r="F618" s="100"/>
      <c r="G618" s="101"/>
      <c r="H618" s="5"/>
      <c r="I618" s="5"/>
      <c r="J618" s="107"/>
    </row>
    <row r="619" spans="5:10" x14ac:dyDescent="0.25">
      <c r="E619" s="100"/>
      <c r="F619" s="100"/>
      <c r="G619" s="101"/>
      <c r="H619" s="5"/>
      <c r="I619" s="5"/>
      <c r="J619" s="107"/>
    </row>
    <row r="620" spans="5:10" x14ac:dyDescent="0.25">
      <c r="E620" s="100"/>
      <c r="F620" s="100"/>
      <c r="G620" s="101"/>
      <c r="H620" s="5"/>
      <c r="I620" s="5"/>
      <c r="J620" s="107"/>
    </row>
    <row r="621" spans="5:10" x14ac:dyDescent="0.25">
      <c r="E621" s="100"/>
      <c r="F621" s="100"/>
      <c r="G621" s="101"/>
      <c r="H621" s="5"/>
      <c r="I621" s="5"/>
      <c r="J621" s="107"/>
    </row>
    <row r="622" spans="5:10" x14ac:dyDescent="0.25">
      <c r="E622" s="100"/>
      <c r="F622" s="100"/>
      <c r="G622" s="101"/>
      <c r="H622" s="5"/>
      <c r="I622" s="5"/>
      <c r="J622" s="107"/>
    </row>
    <row r="623" spans="5:10" x14ac:dyDescent="0.25">
      <c r="E623" s="100"/>
      <c r="F623" s="100"/>
      <c r="G623" s="101"/>
      <c r="H623" s="5"/>
      <c r="I623" s="5"/>
      <c r="J623" s="107"/>
    </row>
    <row r="624" spans="5:10" x14ac:dyDescent="0.25">
      <c r="E624" s="100"/>
      <c r="F624" s="100"/>
      <c r="G624" s="101"/>
      <c r="H624" s="5"/>
      <c r="I624" s="5"/>
      <c r="J624" s="107"/>
    </row>
    <row r="625" spans="5:10" x14ac:dyDescent="0.25">
      <c r="E625" s="100"/>
      <c r="F625" s="100"/>
      <c r="G625" s="101"/>
      <c r="H625" s="5"/>
      <c r="I625" s="5"/>
      <c r="J625" s="107"/>
    </row>
    <row r="626" spans="5:10" x14ac:dyDescent="0.25">
      <c r="E626" s="100"/>
      <c r="F626" s="100"/>
      <c r="G626" s="101"/>
      <c r="H626" s="5"/>
      <c r="I626" s="5"/>
      <c r="J626" s="107"/>
    </row>
    <row r="627" spans="5:10" x14ac:dyDescent="0.25">
      <c r="E627" s="100"/>
      <c r="F627" s="100"/>
      <c r="G627" s="101"/>
      <c r="H627" s="5"/>
      <c r="I627" s="5"/>
      <c r="J627" s="107"/>
    </row>
    <row r="628" spans="5:10" x14ac:dyDescent="0.25">
      <c r="E628" s="100"/>
      <c r="F628" s="100"/>
      <c r="G628" s="101"/>
      <c r="H628" s="5"/>
      <c r="I628" s="5"/>
      <c r="J628" s="107"/>
    </row>
    <row r="629" spans="5:10" x14ac:dyDescent="0.25">
      <c r="E629" s="100"/>
      <c r="F629" s="100"/>
      <c r="G629" s="101"/>
      <c r="H629" s="5"/>
      <c r="I629" s="5"/>
      <c r="J629" s="107"/>
    </row>
    <row r="630" spans="5:10" x14ac:dyDescent="0.25">
      <c r="E630" s="100"/>
      <c r="F630" s="100"/>
      <c r="G630" s="101"/>
      <c r="H630" s="5"/>
      <c r="I630" s="5"/>
      <c r="J630" s="107"/>
    </row>
    <row r="631" spans="5:10" x14ac:dyDescent="0.25">
      <c r="E631" s="100"/>
      <c r="F631" s="100"/>
      <c r="G631" s="101"/>
      <c r="H631" s="5"/>
      <c r="I631" s="5"/>
      <c r="J631" s="107"/>
    </row>
    <row r="632" spans="5:10" x14ac:dyDescent="0.25">
      <c r="E632" s="100"/>
      <c r="F632" s="100"/>
      <c r="G632" s="101"/>
      <c r="H632" s="5"/>
      <c r="I632" s="5"/>
      <c r="J632" s="107"/>
    </row>
    <row r="633" spans="5:10" x14ac:dyDescent="0.25">
      <c r="E633" s="100"/>
      <c r="F633" s="100"/>
      <c r="G633" s="101"/>
      <c r="H633" s="5"/>
      <c r="I633" s="5"/>
      <c r="J633" s="107"/>
    </row>
    <row r="634" spans="5:10" x14ac:dyDescent="0.25">
      <c r="E634" s="100"/>
      <c r="F634" s="100"/>
      <c r="G634" s="101"/>
      <c r="H634" s="5"/>
      <c r="I634" s="5"/>
      <c r="J634" s="107"/>
    </row>
    <row r="635" spans="5:10" x14ac:dyDescent="0.25">
      <c r="E635" s="100"/>
      <c r="F635" s="100"/>
      <c r="G635" s="101"/>
      <c r="H635" s="5"/>
      <c r="I635" s="5"/>
      <c r="J635" s="107"/>
    </row>
    <row r="636" spans="5:10" x14ac:dyDescent="0.25">
      <c r="E636" s="100"/>
      <c r="F636" s="100"/>
      <c r="G636" s="101"/>
      <c r="H636" s="5"/>
      <c r="I636" s="5"/>
      <c r="J636" s="107"/>
    </row>
    <row r="637" spans="5:10" x14ac:dyDescent="0.25">
      <c r="E637" s="100"/>
      <c r="F637" s="100"/>
      <c r="G637" s="101"/>
      <c r="H637" s="5"/>
      <c r="I637" s="5"/>
      <c r="J637" s="107"/>
    </row>
    <row r="638" spans="5:10" x14ac:dyDescent="0.25">
      <c r="E638" s="100"/>
      <c r="F638" s="100"/>
      <c r="G638" s="101"/>
      <c r="H638" s="5"/>
      <c r="I638" s="5"/>
      <c r="J638" s="107"/>
    </row>
    <row r="639" spans="5:10" x14ac:dyDescent="0.25">
      <c r="E639" s="100"/>
      <c r="F639" s="100"/>
      <c r="G639" s="101"/>
      <c r="H639" s="5"/>
      <c r="I639" s="5"/>
      <c r="J639" s="107"/>
    </row>
    <row r="640" spans="5:10" x14ac:dyDescent="0.25">
      <c r="E640" s="100"/>
      <c r="F640" s="100"/>
      <c r="G640" s="101"/>
      <c r="H640" s="5"/>
      <c r="I640" s="5"/>
      <c r="J640" s="107"/>
    </row>
    <row r="641" spans="5:10" x14ac:dyDescent="0.25">
      <c r="E641" s="100"/>
      <c r="F641" s="100"/>
      <c r="G641" s="101"/>
      <c r="H641" s="5"/>
      <c r="I641" s="5"/>
      <c r="J641" s="107"/>
    </row>
    <row r="642" spans="5:10" x14ac:dyDescent="0.25">
      <c r="E642" s="100"/>
      <c r="F642" s="100"/>
      <c r="G642" s="101"/>
      <c r="H642" s="5"/>
      <c r="I642" s="5"/>
      <c r="J642" s="107"/>
    </row>
    <row r="643" spans="5:10" x14ac:dyDescent="0.25">
      <c r="E643" s="100"/>
      <c r="F643" s="100"/>
      <c r="G643" s="101"/>
      <c r="H643" s="5"/>
      <c r="I643" s="5"/>
      <c r="J643" s="107"/>
    </row>
    <row r="644" spans="5:10" x14ac:dyDescent="0.25">
      <c r="E644" s="100"/>
      <c r="F644" s="100"/>
      <c r="G644" s="101"/>
      <c r="H644" s="5"/>
      <c r="I644" s="5"/>
      <c r="J644" s="107"/>
    </row>
    <row r="645" spans="5:10" x14ac:dyDescent="0.25">
      <c r="E645" s="100"/>
      <c r="F645" s="100"/>
      <c r="G645" s="101"/>
      <c r="H645" s="5"/>
      <c r="I645" s="5"/>
      <c r="J645" s="107"/>
    </row>
    <row r="646" spans="5:10" x14ac:dyDescent="0.25">
      <c r="E646" s="100"/>
      <c r="F646" s="100"/>
      <c r="G646" s="101"/>
      <c r="H646" s="5"/>
      <c r="I646" s="5"/>
      <c r="J646" s="107"/>
    </row>
    <row r="647" spans="5:10" x14ac:dyDescent="0.25">
      <c r="E647" s="100"/>
      <c r="F647" s="100"/>
      <c r="G647" s="101"/>
      <c r="H647" s="5"/>
      <c r="I647" s="5"/>
      <c r="J647" s="107"/>
    </row>
    <row r="648" spans="5:10" x14ac:dyDescent="0.25">
      <c r="E648" s="100"/>
      <c r="F648" s="100"/>
      <c r="G648" s="101"/>
      <c r="H648" s="5"/>
      <c r="I648" s="5"/>
      <c r="J648" s="107"/>
    </row>
    <row r="649" spans="5:10" x14ac:dyDescent="0.25">
      <c r="E649" s="100"/>
      <c r="F649" s="100"/>
      <c r="G649" s="101"/>
      <c r="H649" s="5"/>
      <c r="I649" s="5"/>
      <c r="J649" s="107"/>
    </row>
    <row r="650" spans="5:10" x14ac:dyDescent="0.25">
      <c r="E650" s="100"/>
      <c r="F650" s="100"/>
      <c r="G650" s="101"/>
      <c r="H650" s="5"/>
      <c r="I650" s="5"/>
      <c r="J650" s="107"/>
    </row>
    <row r="651" spans="5:10" x14ac:dyDescent="0.25">
      <c r="E651" s="100"/>
      <c r="F651" s="100"/>
      <c r="G651" s="101"/>
      <c r="H651" s="5"/>
      <c r="I651" s="5"/>
      <c r="J651" s="107"/>
    </row>
    <row r="652" spans="5:10" x14ac:dyDescent="0.25">
      <c r="E652" s="100"/>
      <c r="F652" s="100"/>
      <c r="G652" s="101"/>
      <c r="H652" s="5"/>
      <c r="I652" s="5"/>
      <c r="J652" s="107"/>
    </row>
    <row r="653" spans="5:10" x14ac:dyDescent="0.25">
      <c r="E653" s="100"/>
      <c r="F653" s="100"/>
      <c r="G653" s="101"/>
      <c r="H653" s="5"/>
      <c r="I653" s="5"/>
      <c r="J653" s="107"/>
    </row>
    <row r="654" spans="5:10" x14ac:dyDescent="0.25">
      <c r="E654" s="100"/>
      <c r="F654" s="100"/>
      <c r="G654" s="101"/>
      <c r="H654" s="5"/>
      <c r="I654" s="5"/>
      <c r="J654" s="107"/>
    </row>
    <row r="655" spans="5:10" x14ac:dyDescent="0.25">
      <c r="E655" s="100"/>
      <c r="F655" s="100"/>
      <c r="G655" s="101"/>
      <c r="H655" s="5"/>
      <c r="I655" s="5"/>
      <c r="J655" s="107"/>
    </row>
    <row r="656" spans="5:10" x14ac:dyDescent="0.25">
      <c r="E656" s="100"/>
      <c r="F656" s="100"/>
      <c r="G656" s="101"/>
      <c r="H656" s="5"/>
      <c r="I656" s="5"/>
      <c r="J656" s="107"/>
    </row>
    <row r="657" spans="5:10" x14ac:dyDescent="0.25">
      <c r="E657" s="100"/>
      <c r="F657" s="100"/>
      <c r="G657" s="101"/>
      <c r="H657" s="5"/>
      <c r="I657" s="5"/>
      <c r="J657" s="107"/>
    </row>
    <row r="658" spans="5:10" x14ac:dyDescent="0.25">
      <c r="E658" s="100"/>
      <c r="F658" s="100"/>
      <c r="G658" s="101"/>
      <c r="H658" s="5"/>
      <c r="I658" s="5"/>
      <c r="J658" s="107"/>
    </row>
    <row r="659" spans="5:10" x14ac:dyDescent="0.25">
      <c r="E659" s="100"/>
      <c r="F659" s="100"/>
      <c r="G659" s="101"/>
      <c r="H659" s="5"/>
      <c r="I659" s="5"/>
      <c r="J659" s="107"/>
    </row>
    <row r="660" spans="5:10" x14ac:dyDescent="0.25">
      <c r="E660" s="100"/>
      <c r="F660" s="100"/>
      <c r="G660" s="101"/>
      <c r="H660" s="5"/>
      <c r="I660" s="5"/>
      <c r="J660" s="107"/>
    </row>
    <row r="661" spans="5:10" x14ac:dyDescent="0.25">
      <c r="E661" s="100"/>
      <c r="F661" s="100"/>
      <c r="G661" s="101"/>
      <c r="H661" s="5"/>
      <c r="I661" s="5"/>
      <c r="J661" s="107"/>
    </row>
    <row r="662" spans="5:10" x14ac:dyDescent="0.25">
      <c r="E662" s="100"/>
      <c r="F662" s="100"/>
      <c r="G662" s="101"/>
      <c r="H662" s="5"/>
      <c r="I662" s="5"/>
      <c r="J662" s="107"/>
    </row>
    <row r="663" spans="5:10" x14ac:dyDescent="0.25">
      <c r="E663" s="100"/>
      <c r="F663" s="100"/>
      <c r="G663" s="101"/>
      <c r="H663" s="5"/>
      <c r="I663" s="5"/>
      <c r="J663" s="107"/>
    </row>
    <row r="664" spans="5:10" x14ac:dyDescent="0.25">
      <c r="E664" s="100"/>
      <c r="F664" s="100"/>
      <c r="G664" s="101"/>
      <c r="H664" s="5"/>
      <c r="I664" s="5"/>
      <c r="J664" s="107"/>
    </row>
    <row r="665" spans="5:10" x14ac:dyDescent="0.25">
      <c r="E665" s="100"/>
      <c r="F665" s="100"/>
      <c r="G665" s="101"/>
      <c r="H665" s="5"/>
      <c r="I665" s="5"/>
      <c r="J665" s="107"/>
    </row>
    <row r="666" spans="5:10" x14ac:dyDescent="0.25">
      <c r="E666" s="100"/>
      <c r="F666" s="100"/>
      <c r="G666" s="101"/>
      <c r="H666" s="5"/>
      <c r="I666" s="5"/>
      <c r="J666" s="107"/>
    </row>
    <row r="667" spans="5:10" x14ac:dyDescent="0.25">
      <c r="E667" s="100"/>
      <c r="F667" s="100"/>
      <c r="G667" s="101"/>
      <c r="H667" s="5"/>
      <c r="I667" s="5"/>
      <c r="J667" s="107"/>
    </row>
    <row r="668" spans="5:10" x14ac:dyDescent="0.25">
      <c r="E668" s="100"/>
      <c r="F668" s="100"/>
      <c r="G668" s="101"/>
      <c r="H668" s="5"/>
      <c r="I668" s="5"/>
      <c r="J668" s="107"/>
    </row>
    <row r="669" spans="5:10" x14ac:dyDescent="0.25">
      <c r="E669" s="100"/>
      <c r="F669" s="100"/>
      <c r="G669" s="101"/>
      <c r="H669" s="5"/>
      <c r="I669" s="5"/>
      <c r="J669" s="107"/>
    </row>
    <row r="670" spans="5:10" x14ac:dyDescent="0.25">
      <c r="E670" s="100"/>
      <c r="F670" s="100"/>
      <c r="G670" s="101"/>
      <c r="H670" s="5"/>
      <c r="I670" s="5"/>
      <c r="J670" s="107"/>
    </row>
    <row r="671" spans="5:10" x14ac:dyDescent="0.25">
      <c r="E671" s="100"/>
      <c r="F671" s="100"/>
      <c r="G671" s="101"/>
      <c r="H671" s="5"/>
      <c r="I671" s="5"/>
      <c r="J671" s="107"/>
    </row>
    <row r="672" spans="5:10" x14ac:dyDescent="0.25">
      <c r="E672" s="100"/>
      <c r="F672" s="100"/>
      <c r="G672" s="101"/>
      <c r="H672" s="5"/>
      <c r="I672" s="5"/>
      <c r="J672" s="107"/>
    </row>
    <row r="673" spans="5:10" x14ac:dyDescent="0.25">
      <c r="E673" s="100"/>
      <c r="F673" s="100"/>
      <c r="G673" s="101"/>
      <c r="H673" s="5"/>
      <c r="I673" s="5"/>
      <c r="J673" s="107"/>
    </row>
    <row r="674" spans="5:10" x14ac:dyDescent="0.25">
      <c r="E674" s="100"/>
      <c r="F674" s="100"/>
      <c r="G674" s="101"/>
      <c r="H674" s="5"/>
      <c r="I674" s="5"/>
      <c r="J674" s="107"/>
    </row>
    <row r="675" spans="5:10" x14ac:dyDescent="0.25">
      <c r="E675" s="100"/>
      <c r="F675" s="100"/>
      <c r="G675" s="101"/>
      <c r="H675" s="5"/>
      <c r="I675" s="5"/>
      <c r="J675" s="107"/>
    </row>
    <row r="676" spans="5:10" x14ac:dyDescent="0.25">
      <c r="E676" s="100"/>
      <c r="F676" s="100"/>
      <c r="G676" s="101"/>
      <c r="H676" s="5"/>
      <c r="I676" s="5"/>
      <c r="J676" s="107"/>
    </row>
    <row r="677" spans="5:10" x14ac:dyDescent="0.25">
      <c r="E677" s="100"/>
      <c r="F677" s="100"/>
      <c r="G677" s="101"/>
      <c r="H677" s="5"/>
      <c r="I677" s="5"/>
      <c r="J677" s="107"/>
    </row>
    <row r="678" spans="5:10" x14ac:dyDescent="0.25">
      <c r="E678" s="100"/>
      <c r="F678" s="100"/>
      <c r="G678" s="101"/>
      <c r="H678" s="5"/>
      <c r="I678" s="5"/>
      <c r="J678" s="107"/>
    </row>
    <row r="679" spans="5:10" x14ac:dyDescent="0.25">
      <c r="E679" s="100"/>
      <c r="F679" s="100"/>
      <c r="G679" s="101"/>
      <c r="H679" s="5"/>
      <c r="I679" s="5"/>
      <c r="J679" s="107"/>
    </row>
    <row r="680" spans="5:10" x14ac:dyDescent="0.25">
      <c r="E680" s="100"/>
      <c r="F680" s="100"/>
      <c r="G680" s="101"/>
      <c r="H680" s="5"/>
      <c r="I680" s="5"/>
      <c r="J680" s="107"/>
    </row>
    <row r="681" spans="5:10" x14ac:dyDescent="0.25">
      <c r="E681" s="100"/>
      <c r="F681" s="100"/>
      <c r="G681" s="101"/>
      <c r="H681" s="5"/>
      <c r="I681" s="5"/>
      <c r="J681" s="107"/>
    </row>
    <row r="682" spans="5:10" x14ac:dyDescent="0.25">
      <c r="E682" s="100"/>
      <c r="F682" s="100"/>
      <c r="G682" s="101"/>
      <c r="H682" s="5"/>
      <c r="I682" s="5"/>
      <c r="J682" s="107"/>
    </row>
    <row r="683" spans="5:10" x14ac:dyDescent="0.25">
      <c r="E683" s="100"/>
      <c r="F683" s="100"/>
      <c r="G683" s="101"/>
      <c r="H683" s="5"/>
      <c r="I683" s="5"/>
      <c r="J683" s="107"/>
    </row>
    <row r="684" spans="5:10" x14ac:dyDescent="0.25">
      <c r="E684" s="100"/>
      <c r="F684" s="100"/>
      <c r="G684" s="101"/>
      <c r="H684" s="5"/>
      <c r="I684" s="5"/>
      <c r="J684" s="107"/>
    </row>
    <row r="685" spans="5:10" x14ac:dyDescent="0.25">
      <c r="E685" s="100"/>
      <c r="F685" s="100"/>
      <c r="G685" s="101"/>
      <c r="H685" s="5"/>
      <c r="I685" s="5"/>
      <c r="J685" s="107"/>
    </row>
    <row r="686" spans="5:10" x14ac:dyDescent="0.25">
      <c r="E686" s="100"/>
      <c r="F686" s="100"/>
      <c r="G686" s="101"/>
      <c r="H686" s="5"/>
      <c r="I686" s="5"/>
      <c r="J686" s="107"/>
    </row>
    <row r="687" spans="5:10" x14ac:dyDescent="0.25">
      <c r="E687" s="100"/>
      <c r="F687" s="100"/>
      <c r="G687" s="101"/>
      <c r="H687" s="5"/>
      <c r="I687" s="5"/>
      <c r="J687" s="107"/>
    </row>
    <row r="688" spans="5:10" x14ac:dyDescent="0.25">
      <c r="E688" s="100"/>
      <c r="F688" s="100"/>
      <c r="G688" s="101"/>
      <c r="H688" s="5"/>
      <c r="I688" s="5"/>
      <c r="J688" s="107"/>
    </row>
    <row r="689" spans="5:10" x14ac:dyDescent="0.25">
      <c r="E689" s="100"/>
      <c r="F689" s="100"/>
      <c r="G689" s="101"/>
      <c r="H689" s="5"/>
      <c r="I689" s="5"/>
      <c r="J689" s="107"/>
    </row>
    <row r="690" spans="5:10" x14ac:dyDescent="0.25">
      <c r="E690" s="100"/>
      <c r="F690" s="100"/>
      <c r="G690" s="101"/>
      <c r="H690" s="5"/>
      <c r="I690" s="5"/>
      <c r="J690" s="107"/>
    </row>
    <row r="691" spans="5:10" x14ac:dyDescent="0.25">
      <c r="E691" s="100"/>
      <c r="F691" s="100"/>
      <c r="G691" s="101"/>
      <c r="H691" s="5"/>
      <c r="I691" s="5"/>
      <c r="J691" s="107"/>
    </row>
    <row r="692" spans="5:10" x14ac:dyDescent="0.25">
      <c r="E692" s="100"/>
      <c r="F692" s="100"/>
      <c r="G692" s="101"/>
      <c r="H692" s="5"/>
      <c r="I692" s="5"/>
      <c r="J692" s="107"/>
    </row>
    <row r="693" spans="5:10" x14ac:dyDescent="0.25">
      <c r="E693" s="100"/>
      <c r="F693" s="100"/>
      <c r="G693" s="101"/>
      <c r="H693" s="5"/>
      <c r="I693" s="5"/>
      <c r="J693" s="107"/>
    </row>
    <row r="694" spans="5:10" x14ac:dyDescent="0.25">
      <c r="E694" s="100"/>
      <c r="F694" s="100"/>
      <c r="G694" s="101"/>
      <c r="H694" s="5"/>
      <c r="I694" s="5"/>
      <c r="J694" s="107"/>
    </row>
    <row r="695" spans="5:10" x14ac:dyDescent="0.25">
      <c r="E695" s="100"/>
      <c r="F695" s="100"/>
      <c r="G695" s="101"/>
      <c r="H695" s="5"/>
      <c r="I695" s="5"/>
      <c r="J695" s="107"/>
    </row>
    <row r="696" spans="5:10" x14ac:dyDescent="0.25">
      <c r="E696" s="100"/>
      <c r="F696" s="100"/>
      <c r="G696" s="101"/>
      <c r="H696" s="5"/>
      <c r="I696" s="5"/>
      <c r="J696" s="107"/>
    </row>
    <row r="697" spans="5:10" x14ac:dyDescent="0.25">
      <c r="E697" s="100"/>
      <c r="F697" s="100"/>
      <c r="G697" s="101"/>
      <c r="H697" s="5"/>
      <c r="I697" s="5"/>
      <c r="J697" s="107"/>
    </row>
    <row r="698" spans="5:10" x14ac:dyDescent="0.25">
      <c r="E698" s="100"/>
      <c r="F698" s="100"/>
      <c r="G698" s="101"/>
      <c r="H698" s="5"/>
      <c r="I698" s="5"/>
      <c r="J698" s="107"/>
    </row>
    <row r="699" spans="5:10" x14ac:dyDescent="0.25">
      <c r="E699" s="100"/>
      <c r="F699" s="100"/>
      <c r="G699" s="101"/>
      <c r="H699" s="5"/>
      <c r="I699" s="5"/>
      <c r="J699" s="107"/>
    </row>
    <row r="700" spans="5:10" x14ac:dyDescent="0.25">
      <c r="E700" s="100"/>
      <c r="F700" s="100"/>
      <c r="G700" s="101"/>
      <c r="H700" s="5"/>
      <c r="I700" s="5"/>
      <c r="J700" s="107"/>
    </row>
    <row r="701" spans="5:10" x14ac:dyDescent="0.25">
      <c r="E701" s="100"/>
      <c r="F701" s="100"/>
      <c r="G701" s="101"/>
      <c r="H701" s="5"/>
      <c r="I701" s="5"/>
      <c r="J701" s="107"/>
    </row>
    <row r="702" spans="5:10" x14ac:dyDescent="0.25">
      <c r="E702" s="100"/>
      <c r="F702" s="100"/>
      <c r="G702" s="101"/>
      <c r="H702" s="5"/>
      <c r="I702" s="5"/>
      <c r="J702" s="107"/>
    </row>
    <row r="703" spans="5:10" x14ac:dyDescent="0.25">
      <c r="E703" s="100"/>
      <c r="F703" s="100"/>
      <c r="G703" s="101"/>
      <c r="H703" s="5"/>
      <c r="I703" s="5"/>
      <c r="J703" s="107"/>
    </row>
    <row r="704" spans="5:10" x14ac:dyDescent="0.25">
      <c r="E704" s="100"/>
      <c r="F704" s="100"/>
      <c r="G704" s="101"/>
      <c r="H704" s="5"/>
      <c r="I704" s="5"/>
      <c r="J704" s="107"/>
    </row>
    <row r="705" spans="5:10" x14ac:dyDescent="0.25">
      <c r="E705" s="100"/>
      <c r="F705" s="100"/>
      <c r="G705" s="101"/>
      <c r="H705" s="5"/>
      <c r="I705" s="5"/>
      <c r="J705" s="107"/>
    </row>
    <row r="706" spans="5:10" x14ac:dyDescent="0.25">
      <c r="E706" s="100"/>
      <c r="F706" s="100"/>
      <c r="G706" s="101"/>
      <c r="H706" s="5"/>
      <c r="I706" s="5"/>
      <c r="J706" s="107"/>
    </row>
    <row r="707" spans="5:10" x14ac:dyDescent="0.25">
      <c r="E707" s="100"/>
      <c r="F707" s="100"/>
      <c r="G707" s="101"/>
      <c r="H707" s="5"/>
      <c r="I707" s="5"/>
      <c r="J707" s="107"/>
    </row>
    <row r="708" spans="5:10" x14ac:dyDescent="0.25">
      <c r="E708" s="100"/>
      <c r="F708" s="100"/>
      <c r="G708" s="101"/>
      <c r="H708" s="5"/>
      <c r="I708" s="5"/>
      <c r="J708" s="107"/>
    </row>
    <row r="709" spans="5:10" x14ac:dyDescent="0.25">
      <c r="E709" s="100"/>
      <c r="F709" s="100"/>
      <c r="G709" s="101"/>
      <c r="H709" s="5"/>
      <c r="I709" s="5"/>
      <c r="J709" s="107"/>
    </row>
    <row r="710" spans="5:10" x14ac:dyDescent="0.25">
      <c r="E710" s="100"/>
      <c r="F710" s="100"/>
      <c r="G710" s="101"/>
      <c r="H710" s="5"/>
      <c r="I710" s="5"/>
      <c r="J710" s="107"/>
    </row>
    <row r="711" spans="5:10" x14ac:dyDescent="0.25">
      <c r="E711" s="100"/>
      <c r="F711" s="100"/>
      <c r="G711" s="101"/>
      <c r="H711" s="5"/>
      <c r="I711" s="5"/>
      <c r="J711" s="107"/>
    </row>
    <row r="712" spans="5:10" x14ac:dyDescent="0.25">
      <c r="E712" s="100"/>
      <c r="F712" s="100"/>
      <c r="G712" s="101"/>
      <c r="H712" s="5"/>
      <c r="I712" s="5"/>
      <c r="J712" s="107"/>
    </row>
    <row r="713" spans="5:10" x14ac:dyDescent="0.25">
      <c r="E713" s="100"/>
      <c r="F713" s="100"/>
      <c r="G713" s="101"/>
      <c r="H713" s="5"/>
      <c r="I713" s="5"/>
      <c r="J713" s="107"/>
    </row>
    <row r="714" spans="5:10" x14ac:dyDescent="0.25">
      <c r="E714" s="100"/>
      <c r="F714" s="100"/>
      <c r="G714" s="101"/>
      <c r="H714" s="5"/>
      <c r="I714" s="5"/>
      <c r="J714" s="107"/>
    </row>
    <row r="715" spans="5:10" x14ac:dyDescent="0.25">
      <c r="E715" s="100"/>
      <c r="F715" s="100"/>
      <c r="G715" s="101"/>
      <c r="H715" s="5"/>
      <c r="I715" s="5"/>
      <c r="J715" s="107"/>
    </row>
    <row r="716" spans="5:10" x14ac:dyDescent="0.25">
      <c r="E716" s="100"/>
      <c r="F716" s="100"/>
      <c r="G716" s="101"/>
      <c r="H716" s="5"/>
      <c r="I716" s="5"/>
      <c r="J716" s="107"/>
    </row>
    <row r="717" spans="5:10" x14ac:dyDescent="0.25">
      <c r="E717" s="100"/>
      <c r="F717" s="100"/>
      <c r="G717" s="101"/>
      <c r="H717" s="5"/>
      <c r="I717" s="5"/>
      <c r="J717" s="107"/>
    </row>
    <row r="718" spans="5:10" x14ac:dyDescent="0.25">
      <c r="E718" s="100"/>
      <c r="F718" s="100"/>
      <c r="G718" s="101"/>
      <c r="H718" s="5"/>
      <c r="I718" s="5"/>
      <c r="J718" s="107"/>
    </row>
    <row r="719" spans="5:10" x14ac:dyDescent="0.25">
      <c r="E719" s="100"/>
      <c r="F719" s="100"/>
      <c r="G719" s="101"/>
      <c r="H719" s="5"/>
      <c r="I719" s="5"/>
      <c r="J719" s="107"/>
    </row>
    <row r="720" spans="5:10" x14ac:dyDescent="0.25">
      <c r="E720" s="100"/>
      <c r="F720" s="100"/>
      <c r="G720" s="101"/>
      <c r="H720" s="5"/>
      <c r="I720" s="5"/>
      <c r="J720" s="107"/>
    </row>
    <row r="721" spans="5:10" x14ac:dyDescent="0.25">
      <c r="E721" s="100"/>
      <c r="F721" s="100"/>
      <c r="G721" s="101"/>
      <c r="H721" s="5"/>
      <c r="I721" s="5"/>
      <c r="J721" s="107"/>
    </row>
    <row r="722" spans="5:10" x14ac:dyDescent="0.25">
      <c r="E722" s="100"/>
      <c r="F722" s="100"/>
      <c r="G722" s="101"/>
      <c r="H722" s="5"/>
      <c r="I722" s="5"/>
      <c r="J722" s="107"/>
    </row>
    <row r="723" spans="5:10" x14ac:dyDescent="0.25">
      <c r="E723" s="100"/>
      <c r="F723" s="100"/>
      <c r="G723" s="101"/>
      <c r="H723" s="5"/>
      <c r="I723" s="5"/>
      <c r="J723" s="107"/>
    </row>
    <row r="724" spans="5:10" x14ac:dyDescent="0.25">
      <c r="E724" s="100"/>
      <c r="F724" s="100"/>
      <c r="G724" s="101"/>
      <c r="H724" s="5"/>
      <c r="I724" s="5"/>
      <c r="J724" s="107"/>
    </row>
    <row r="725" spans="5:10" x14ac:dyDescent="0.25">
      <c r="E725" s="100"/>
      <c r="F725" s="100"/>
      <c r="G725" s="101"/>
      <c r="H725" s="5"/>
      <c r="I725" s="5"/>
      <c r="J725" s="107"/>
    </row>
    <row r="726" spans="5:10" x14ac:dyDescent="0.25">
      <c r="E726" s="100"/>
      <c r="F726" s="100"/>
      <c r="G726" s="101"/>
      <c r="H726" s="5"/>
      <c r="I726" s="5"/>
      <c r="J726" s="107"/>
    </row>
    <row r="727" spans="5:10" x14ac:dyDescent="0.25">
      <c r="E727" s="100"/>
      <c r="F727" s="100"/>
      <c r="G727" s="101"/>
      <c r="H727" s="5"/>
      <c r="I727" s="5"/>
      <c r="J727" s="107"/>
    </row>
    <row r="728" spans="5:10" x14ac:dyDescent="0.25">
      <c r="E728" s="100"/>
      <c r="F728" s="100"/>
      <c r="G728" s="101"/>
      <c r="H728" s="5"/>
      <c r="I728" s="5"/>
      <c r="J728" s="107"/>
    </row>
    <row r="729" spans="5:10" x14ac:dyDescent="0.25">
      <c r="E729" s="100"/>
      <c r="F729" s="100"/>
      <c r="G729" s="101"/>
      <c r="H729" s="5"/>
      <c r="I729" s="5"/>
      <c r="J729" s="107"/>
    </row>
    <row r="730" spans="5:10" x14ac:dyDescent="0.25">
      <c r="E730" s="100"/>
      <c r="F730" s="100"/>
      <c r="G730" s="101"/>
      <c r="H730" s="5"/>
      <c r="I730" s="5"/>
      <c r="J730" s="107"/>
    </row>
    <row r="731" spans="5:10" x14ac:dyDescent="0.25">
      <c r="E731" s="100"/>
      <c r="F731" s="100"/>
      <c r="G731" s="101"/>
      <c r="H731" s="5"/>
      <c r="I731" s="5"/>
      <c r="J731" s="107"/>
    </row>
    <row r="732" spans="5:10" x14ac:dyDescent="0.25">
      <c r="E732" s="100"/>
      <c r="F732" s="100"/>
      <c r="G732" s="101"/>
      <c r="H732" s="5"/>
      <c r="I732" s="5"/>
      <c r="J732" s="107"/>
    </row>
    <row r="733" spans="5:10" x14ac:dyDescent="0.25">
      <c r="E733" s="100"/>
      <c r="F733" s="100"/>
      <c r="G733" s="101"/>
      <c r="H733" s="5"/>
      <c r="I733" s="5"/>
      <c r="J733" s="107"/>
    </row>
    <row r="734" spans="5:10" x14ac:dyDescent="0.25">
      <c r="E734" s="100"/>
      <c r="F734" s="100"/>
      <c r="G734" s="101"/>
      <c r="H734" s="5"/>
      <c r="I734" s="5"/>
      <c r="J734" s="107"/>
    </row>
    <row r="735" spans="5:10" x14ac:dyDescent="0.25">
      <c r="E735" s="100"/>
      <c r="F735" s="100"/>
      <c r="G735" s="101"/>
      <c r="H735" s="5"/>
      <c r="I735" s="5"/>
      <c r="J735" s="107"/>
    </row>
    <row r="736" spans="5:10" x14ac:dyDescent="0.25">
      <c r="E736" s="100"/>
      <c r="F736" s="100"/>
      <c r="G736" s="101"/>
      <c r="H736" s="5"/>
      <c r="I736" s="5"/>
      <c r="J736" s="107"/>
    </row>
    <row r="737" spans="5:10" x14ac:dyDescent="0.25">
      <c r="E737" s="100"/>
      <c r="F737" s="100"/>
      <c r="G737" s="101"/>
      <c r="H737" s="5"/>
      <c r="I737" s="5"/>
      <c r="J737" s="107"/>
    </row>
    <row r="738" spans="5:10" x14ac:dyDescent="0.25">
      <c r="E738" s="100"/>
      <c r="F738" s="100"/>
      <c r="G738" s="101"/>
      <c r="H738" s="5"/>
      <c r="I738" s="5"/>
      <c r="J738" s="107"/>
    </row>
    <row r="739" spans="5:10" x14ac:dyDescent="0.25">
      <c r="E739" s="100"/>
      <c r="F739" s="100"/>
      <c r="G739" s="101"/>
      <c r="H739" s="5"/>
      <c r="I739" s="5"/>
      <c r="J739" s="107"/>
    </row>
    <row r="740" spans="5:10" x14ac:dyDescent="0.25">
      <c r="E740" s="100"/>
      <c r="F740" s="100"/>
      <c r="G740" s="101"/>
      <c r="H740" s="5"/>
      <c r="I740" s="5"/>
      <c r="J740" s="107"/>
    </row>
    <row r="741" spans="5:10" x14ac:dyDescent="0.25">
      <c r="E741" s="100"/>
      <c r="F741" s="100"/>
      <c r="G741" s="101"/>
      <c r="H741" s="5"/>
      <c r="I741" s="5"/>
      <c r="J741" s="107"/>
    </row>
    <row r="742" spans="5:10" x14ac:dyDescent="0.25">
      <c r="E742" s="100"/>
      <c r="F742" s="100"/>
      <c r="G742" s="101"/>
      <c r="H742" s="5"/>
      <c r="I742" s="5"/>
      <c r="J742" s="107"/>
    </row>
    <row r="743" spans="5:10" x14ac:dyDescent="0.25">
      <c r="E743" s="100"/>
      <c r="F743" s="100"/>
      <c r="G743" s="101"/>
      <c r="H743" s="5"/>
      <c r="I743" s="5"/>
      <c r="J743" s="107"/>
    </row>
    <row r="744" spans="5:10" x14ac:dyDescent="0.25">
      <c r="E744" s="100"/>
      <c r="F744" s="100"/>
      <c r="G744" s="101"/>
      <c r="H744" s="5"/>
      <c r="I744" s="5"/>
      <c r="J744" s="107"/>
    </row>
    <row r="745" spans="5:10" x14ac:dyDescent="0.25">
      <c r="E745" s="100"/>
      <c r="F745" s="100"/>
      <c r="G745" s="101"/>
      <c r="H745" s="5"/>
      <c r="I745" s="5"/>
      <c r="J745" s="107"/>
    </row>
    <row r="746" spans="5:10" x14ac:dyDescent="0.25">
      <c r="E746" s="100"/>
      <c r="F746" s="100"/>
      <c r="G746" s="101"/>
      <c r="H746" s="5"/>
      <c r="I746" s="5"/>
      <c r="J746" s="107"/>
    </row>
    <row r="747" spans="5:10" x14ac:dyDescent="0.25">
      <c r="E747" s="100"/>
      <c r="F747" s="100"/>
      <c r="G747" s="101"/>
      <c r="H747" s="5"/>
      <c r="I747" s="5"/>
      <c r="J747" s="107"/>
    </row>
    <row r="748" spans="5:10" x14ac:dyDescent="0.25">
      <c r="E748" s="100"/>
      <c r="F748" s="100"/>
      <c r="G748" s="101"/>
      <c r="H748" s="5"/>
      <c r="I748" s="5"/>
      <c r="J748" s="107"/>
    </row>
    <row r="749" spans="5:10" x14ac:dyDescent="0.25">
      <c r="E749" s="100"/>
      <c r="F749" s="100"/>
      <c r="G749" s="101"/>
      <c r="H749" s="5"/>
      <c r="I749" s="5"/>
      <c r="J749" s="107"/>
    </row>
    <row r="750" spans="5:10" x14ac:dyDescent="0.25">
      <c r="E750" s="100"/>
      <c r="F750" s="100"/>
      <c r="G750" s="101"/>
      <c r="H750" s="5"/>
      <c r="I750" s="5"/>
      <c r="J750" s="107"/>
    </row>
    <row r="751" spans="5:10" x14ac:dyDescent="0.25">
      <c r="E751" s="100"/>
      <c r="F751" s="100"/>
      <c r="G751" s="101"/>
      <c r="H751" s="5"/>
      <c r="I751" s="5"/>
      <c r="J751" s="107"/>
    </row>
    <row r="752" spans="5:10" x14ac:dyDescent="0.25">
      <c r="E752" s="100"/>
      <c r="F752" s="100"/>
      <c r="G752" s="101"/>
      <c r="H752" s="5"/>
      <c r="I752" s="5"/>
      <c r="J752" s="107"/>
    </row>
    <row r="753" spans="5:10" x14ac:dyDescent="0.25">
      <c r="E753" s="100"/>
      <c r="F753" s="100"/>
      <c r="G753" s="101"/>
      <c r="H753" s="5"/>
      <c r="I753" s="5"/>
      <c r="J753" s="107"/>
    </row>
    <row r="754" spans="5:10" x14ac:dyDescent="0.25">
      <c r="E754" s="100"/>
      <c r="F754" s="100"/>
      <c r="G754" s="101"/>
      <c r="H754" s="5"/>
      <c r="I754" s="5"/>
      <c r="J754" s="107"/>
    </row>
    <row r="755" spans="5:10" x14ac:dyDescent="0.25">
      <c r="E755" s="100"/>
      <c r="F755" s="100"/>
      <c r="G755" s="101"/>
      <c r="H755" s="5"/>
      <c r="I755" s="5"/>
      <c r="J755" s="107"/>
    </row>
    <row r="756" spans="5:10" x14ac:dyDescent="0.25">
      <c r="E756" s="100"/>
      <c r="F756" s="100"/>
      <c r="G756" s="101"/>
      <c r="H756" s="5"/>
      <c r="I756" s="5"/>
      <c r="J756" s="107"/>
    </row>
    <row r="757" spans="5:10" x14ac:dyDescent="0.25">
      <c r="E757" s="100"/>
      <c r="F757" s="100"/>
      <c r="G757" s="101"/>
      <c r="H757" s="5"/>
      <c r="I757" s="5"/>
      <c r="J757" s="107"/>
    </row>
    <row r="758" spans="5:10" x14ac:dyDescent="0.25">
      <c r="E758" s="100"/>
      <c r="F758" s="100"/>
      <c r="G758" s="101"/>
      <c r="H758" s="5"/>
      <c r="I758" s="5"/>
      <c r="J758" s="107"/>
    </row>
    <row r="759" spans="5:10" x14ac:dyDescent="0.25">
      <c r="E759" s="100"/>
      <c r="F759" s="100"/>
      <c r="G759" s="101"/>
      <c r="H759" s="5"/>
      <c r="I759" s="5"/>
      <c r="J759" s="107"/>
    </row>
    <row r="760" spans="5:10" x14ac:dyDescent="0.25">
      <c r="E760" s="100"/>
      <c r="F760" s="100"/>
      <c r="G760" s="101"/>
      <c r="H760" s="5"/>
      <c r="I760" s="5"/>
      <c r="J760" s="107"/>
    </row>
    <row r="761" spans="5:10" x14ac:dyDescent="0.25">
      <c r="E761" s="100"/>
      <c r="F761" s="100"/>
      <c r="G761" s="101"/>
      <c r="H761" s="5"/>
      <c r="I761" s="5"/>
      <c r="J761" s="107"/>
    </row>
    <row r="762" spans="5:10" x14ac:dyDescent="0.25">
      <c r="E762" s="100"/>
      <c r="F762" s="100"/>
      <c r="G762" s="101"/>
      <c r="H762" s="5"/>
      <c r="I762" s="5"/>
      <c r="J762" s="107"/>
    </row>
    <row r="763" spans="5:10" x14ac:dyDescent="0.25">
      <c r="E763" s="100"/>
      <c r="F763" s="100"/>
      <c r="G763" s="101"/>
      <c r="H763" s="5"/>
      <c r="I763" s="5"/>
      <c r="J763" s="107"/>
    </row>
    <row r="764" spans="5:10" x14ac:dyDescent="0.25">
      <c r="E764" s="100"/>
      <c r="F764" s="100"/>
      <c r="G764" s="101"/>
      <c r="H764" s="5"/>
      <c r="I764" s="5"/>
      <c r="J764" s="107"/>
    </row>
    <row r="765" spans="5:10" x14ac:dyDescent="0.25">
      <c r="E765" s="100"/>
      <c r="F765" s="100"/>
      <c r="G765" s="101"/>
      <c r="H765" s="5"/>
      <c r="I765" s="5"/>
      <c r="J765" s="107"/>
    </row>
    <row r="766" spans="5:10" x14ac:dyDescent="0.25">
      <c r="E766" s="100"/>
      <c r="F766" s="100"/>
      <c r="G766" s="101"/>
      <c r="H766" s="5"/>
      <c r="I766" s="5"/>
      <c r="J766" s="107"/>
    </row>
    <row r="767" spans="5:10" x14ac:dyDescent="0.25">
      <c r="E767" s="100"/>
      <c r="F767" s="100"/>
      <c r="G767" s="101"/>
      <c r="H767" s="5"/>
      <c r="I767" s="5"/>
      <c r="J767" s="107"/>
    </row>
    <row r="768" spans="5:10" x14ac:dyDescent="0.25">
      <c r="E768" s="100"/>
      <c r="F768" s="100"/>
      <c r="G768" s="101"/>
      <c r="H768" s="5"/>
      <c r="I768" s="5"/>
      <c r="J768" s="107"/>
    </row>
    <row r="769" spans="5:10" x14ac:dyDescent="0.25">
      <c r="E769" s="100"/>
      <c r="F769" s="100"/>
      <c r="G769" s="101"/>
      <c r="H769" s="5"/>
      <c r="I769" s="5"/>
      <c r="J769" s="107"/>
    </row>
    <row r="770" spans="5:10" x14ac:dyDescent="0.25">
      <c r="E770" s="100"/>
      <c r="F770" s="100"/>
      <c r="G770" s="101"/>
      <c r="H770" s="5"/>
      <c r="I770" s="5"/>
      <c r="J770" s="107"/>
    </row>
    <row r="771" spans="5:10" x14ac:dyDescent="0.25">
      <c r="E771" s="100"/>
      <c r="F771" s="100"/>
      <c r="G771" s="101"/>
      <c r="H771" s="5"/>
      <c r="I771" s="5"/>
      <c r="J771" s="107"/>
    </row>
    <row r="772" spans="5:10" x14ac:dyDescent="0.25">
      <c r="E772" s="100"/>
      <c r="F772" s="100"/>
      <c r="G772" s="101"/>
      <c r="H772" s="5"/>
      <c r="I772" s="5"/>
      <c r="J772" s="107"/>
    </row>
    <row r="773" spans="5:10" x14ac:dyDescent="0.25">
      <c r="E773" s="100"/>
      <c r="F773" s="100"/>
      <c r="G773" s="101"/>
      <c r="H773" s="5"/>
      <c r="I773" s="5"/>
      <c r="J773" s="107"/>
    </row>
    <row r="774" spans="5:10" x14ac:dyDescent="0.25">
      <c r="E774" s="100"/>
      <c r="F774" s="100"/>
      <c r="G774" s="101"/>
      <c r="H774" s="5"/>
      <c r="I774" s="5"/>
      <c r="J774" s="107"/>
    </row>
    <row r="775" spans="5:10" x14ac:dyDescent="0.25">
      <c r="E775" s="100"/>
      <c r="F775" s="100"/>
      <c r="G775" s="101"/>
      <c r="H775" s="5"/>
      <c r="I775" s="5"/>
      <c r="J775" s="107"/>
    </row>
    <row r="776" spans="5:10" x14ac:dyDescent="0.25">
      <c r="E776" s="100"/>
      <c r="F776" s="100"/>
      <c r="G776" s="101"/>
      <c r="H776" s="5"/>
      <c r="I776" s="5"/>
      <c r="J776" s="107"/>
    </row>
    <row r="777" spans="5:10" x14ac:dyDescent="0.25">
      <c r="E777" s="100"/>
      <c r="F777" s="100"/>
      <c r="G777" s="101"/>
      <c r="H777" s="5"/>
      <c r="I777" s="5"/>
      <c r="J777" s="107"/>
    </row>
    <row r="778" spans="5:10" x14ac:dyDescent="0.25">
      <c r="E778" s="100"/>
      <c r="F778" s="100"/>
      <c r="G778" s="101"/>
      <c r="H778" s="5"/>
      <c r="I778" s="5"/>
      <c r="J778" s="107"/>
    </row>
    <row r="779" spans="5:10" x14ac:dyDescent="0.25">
      <c r="E779" s="100"/>
      <c r="F779" s="100"/>
      <c r="G779" s="101"/>
      <c r="H779" s="5"/>
      <c r="I779" s="5"/>
      <c r="J779" s="107"/>
    </row>
    <row r="780" spans="5:10" x14ac:dyDescent="0.25">
      <c r="E780" s="100"/>
      <c r="F780" s="100"/>
      <c r="G780" s="101"/>
      <c r="H780" s="5"/>
      <c r="I780" s="5"/>
      <c r="J780" s="107"/>
    </row>
    <row r="781" spans="5:10" x14ac:dyDescent="0.25">
      <c r="E781" s="100"/>
      <c r="F781" s="100"/>
      <c r="G781" s="101"/>
      <c r="H781" s="5"/>
      <c r="I781" s="5"/>
      <c r="J781" s="107"/>
    </row>
    <row r="782" spans="5:10" x14ac:dyDescent="0.25">
      <c r="E782" s="100"/>
      <c r="F782" s="100"/>
      <c r="G782" s="101"/>
      <c r="H782" s="5"/>
      <c r="I782" s="5"/>
      <c r="J782" s="107"/>
    </row>
    <row r="783" spans="5:10" x14ac:dyDescent="0.25">
      <c r="E783" s="100"/>
      <c r="F783" s="100"/>
      <c r="G783" s="101"/>
      <c r="H783" s="5"/>
      <c r="I783" s="5"/>
      <c r="J783" s="107"/>
    </row>
    <row r="784" spans="5:10" x14ac:dyDescent="0.25">
      <c r="E784" s="100"/>
      <c r="F784" s="100"/>
      <c r="G784" s="101"/>
      <c r="H784" s="5"/>
      <c r="I784" s="5"/>
      <c r="J784" s="107"/>
    </row>
    <row r="785" spans="5:10" x14ac:dyDescent="0.25">
      <c r="E785" s="100"/>
      <c r="F785" s="100"/>
      <c r="G785" s="101"/>
      <c r="H785" s="5"/>
      <c r="I785" s="5"/>
      <c r="J785" s="107"/>
    </row>
    <row r="786" spans="5:10" x14ac:dyDescent="0.25">
      <c r="E786" s="100"/>
      <c r="F786" s="100"/>
      <c r="G786" s="101"/>
      <c r="H786" s="5"/>
      <c r="I786" s="5"/>
      <c r="J786" s="107"/>
    </row>
    <row r="787" spans="5:10" x14ac:dyDescent="0.25">
      <c r="E787" s="100"/>
      <c r="F787" s="100"/>
      <c r="G787" s="101"/>
      <c r="H787" s="5"/>
      <c r="I787" s="5"/>
      <c r="J787" s="107"/>
    </row>
    <row r="788" spans="5:10" x14ac:dyDescent="0.25">
      <c r="E788" s="100"/>
      <c r="F788" s="100"/>
      <c r="G788" s="101"/>
      <c r="H788" s="5"/>
      <c r="I788" s="5"/>
      <c r="J788" s="107"/>
    </row>
    <row r="789" spans="5:10" x14ac:dyDescent="0.25">
      <c r="E789" s="100"/>
      <c r="F789" s="100"/>
      <c r="G789" s="101"/>
      <c r="H789" s="5"/>
      <c r="I789" s="5"/>
      <c r="J789" s="107"/>
    </row>
    <row r="790" spans="5:10" x14ac:dyDescent="0.25">
      <c r="E790" s="100"/>
      <c r="F790" s="100"/>
      <c r="G790" s="101"/>
      <c r="H790" s="5"/>
      <c r="I790" s="5"/>
      <c r="J790" s="107"/>
    </row>
    <row r="791" spans="5:10" x14ac:dyDescent="0.25">
      <c r="E791" s="100"/>
      <c r="F791" s="100"/>
      <c r="G791" s="101"/>
      <c r="H791" s="5"/>
      <c r="I791" s="5"/>
      <c r="J791" s="107"/>
    </row>
    <row r="792" spans="5:10" x14ac:dyDescent="0.25">
      <c r="E792" s="100"/>
      <c r="F792" s="100"/>
      <c r="G792" s="101"/>
      <c r="H792" s="5"/>
      <c r="I792" s="5"/>
      <c r="J792" s="107"/>
    </row>
    <row r="793" spans="5:10" x14ac:dyDescent="0.25">
      <c r="E793" s="100"/>
      <c r="F793" s="100"/>
      <c r="G793" s="101"/>
      <c r="H793" s="5"/>
      <c r="I793" s="5"/>
      <c r="J793" s="107"/>
    </row>
    <row r="794" spans="5:10" x14ac:dyDescent="0.25">
      <c r="E794" s="100"/>
      <c r="F794" s="100"/>
      <c r="G794" s="101"/>
      <c r="H794" s="5"/>
      <c r="I794" s="5"/>
      <c r="J794" s="107"/>
    </row>
    <row r="795" spans="5:10" x14ac:dyDescent="0.25">
      <c r="E795" s="100"/>
      <c r="F795" s="100"/>
      <c r="G795" s="101"/>
      <c r="H795" s="5"/>
      <c r="I795" s="5"/>
      <c r="J795" s="107"/>
    </row>
    <row r="796" spans="5:10" x14ac:dyDescent="0.25">
      <c r="E796" s="100"/>
      <c r="F796" s="100"/>
      <c r="G796" s="101"/>
      <c r="H796" s="5"/>
      <c r="I796" s="5"/>
      <c r="J796" s="107"/>
    </row>
    <row r="797" spans="5:10" x14ac:dyDescent="0.25">
      <c r="E797" s="100"/>
      <c r="F797" s="100"/>
      <c r="G797" s="101"/>
      <c r="H797" s="5"/>
      <c r="I797" s="5"/>
      <c r="J797" s="107"/>
    </row>
    <row r="798" spans="5:10" x14ac:dyDescent="0.25">
      <c r="E798" s="100"/>
      <c r="F798" s="100"/>
      <c r="G798" s="101"/>
      <c r="H798" s="5"/>
      <c r="I798" s="5"/>
      <c r="J798" s="107"/>
    </row>
    <row r="799" spans="5:10" x14ac:dyDescent="0.25">
      <c r="E799" s="100"/>
      <c r="F799" s="100"/>
      <c r="G799" s="101"/>
      <c r="H799" s="5"/>
      <c r="I799" s="5"/>
      <c r="J799" s="107"/>
    </row>
    <row r="800" spans="5:10" x14ac:dyDescent="0.25">
      <c r="E800" s="100"/>
      <c r="F800" s="100"/>
      <c r="G800" s="101"/>
      <c r="H800" s="5"/>
      <c r="I800" s="5"/>
      <c r="J800" s="107"/>
    </row>
    <row r="801" spans="5:10" x14ac:dyDescent="0.25">
      <c r="E801" s="100"/>
      <c r="F801" s="100"/>
      <c r="G801" s="101"/>
      <c r="H801" s="5"/>
      <c r="I801" s="5"/>
      <c r="J801" s="107"/>
    </row>
    <row r="802" spans="5:10" x14ac:dyDescent="0.25">
      <c r="E802" s="100"/>
      <c r="F802" s="100"/>
      <c r="G802" s="101"/>
      <c r="H802" s="5"/>
      <c r="I802" s="5"/>
      <c r="J802" s="107"/>
    </row>
    <row r="803" spans="5:10" x14ac:dyDescent="0.25">
      <c r="E803" s="100"/>
      <c r="F803" s="100"/>
      <c r="G803" s="101"/>
      <c r="H803" s="5"/>
      <c r="I803" s="5"/>
      <c r="J803" s="107"/>
    </row>
    <row r="804" spans="5:10" x14ac:dyDescent="0.25">
      <c r="E804" s="100"/>
      <c r="F804" s="100"/>
      <c r="G804" s="101"/>
      <c r="H804" s="5"/>
      <c r="I804" s="5"/>
      <c r="J804" s="107"/>
    </row>
    <row r="805" spans="5:10" x14ac:dyDescent="0.25">
      <c r="E805" s="100"/>
      <c r="F805" s="100"/>
      <c r="G805" s="101"/>
      <c r="H805" s="5"/>
      <c r="I805" s="5"/>
      <c r="J805" s="107"/>
    </row>
    <row r="806" spans="5:10" x14ac:dyDescent="0.25">
      <c r="E806" s="100"/>
      <c r="F806" s="100"/>
      <c r="G806" s="101"/>
      <c r="H806" s="5"/>
      <c r="I806" s="5"/>
      <c r="J806" s="107"/>
    </row>
    <row r="807" spans="5:10" x14ac:dyDescent="0.25">
      <c r="E807" s="100"/>
      <c r="F807" s="100"/>
      <c r="G807" s="101"/>
      <c r="H807" s="5"/>
      <c r="I807" s="5"/>
      <c r="J807" s="107"/>
    </row>
    <row r="808" spans="5:10" x14ac:dyDescent="0.25">
      <c r="E808" s="100"/>
      <c r="F808" s="100"/>
      <c r="G808" s="101"/>
      <c r="H808" s="5"/>
      <c r="I808" s="5"/>
      <c r="J808" s="107"/>
    </row>
    <row r="809" spans="5:10" x14ac:dyDescent="0.25">
      <c r="E809" s="100"/>
      <c r="F809" s="100"/>
      <c r="G809" s="101"/>
      <c r="H809" s="5"/>
      <c r="I809" s="5"/>
      <c r="J809" s="107"/>
    </row>
    <row r="810" spans="5:10" x14ac:dyDescent="0.25">
      <c r="E810" s="100"/>
      <c r="F810" s="100"/>
      <c r="G810" s="101"/>
      <c r="H810" s="5"/>
      <c r="I810" s="5"/>
      <c r="J810" s="107"/>
    </row>
    <row r="811" spans="5:10" x14ac:dyDescent="0.25">
      <c r="E811" s="100"/>
      <c r="F811" s="100"/>
      <c r="G811" s="101"/>
      <c r="H811" s="5"/>
      <c r="I811" s="5"/>
      <c r="J811" s="107"/>
    </row>
    <row r="812" spans="5:10" x14ac:dyDescent="0.25">
      <c r="E812" s="100"/>
      <c r="F812" s="100"/>
      <c r="G812" s="101"/>
      <c r="H812" s="5"/>
      <c r="I812" s="5"/>
      <c r="J812" s="107"/>
    </row>
    <row r="813" spans="5:10" x14ac:dyDescent="0.25">
      <c r="E813" s="100"/>
      <c r="F813" s="100"/>
      <c r="G813" s="101"/>
      <c r="H813" s="5"/>
      <c r="I813" s="5"/>
      <c r="J813" s="107"/>
    </row>
    <row r="814" spans="5:10" x14ac:dyDescent="0.25">
      <c r="E814" s="100"/>
      <c r="F814" s="100"/>
      <c r="G814" s="101"/>
      <c r="H814" s="5"/>
      <c r="I814" s="5"/>
      <c r="J814" s="107"/>
    </row>
    <row r="815" spans="5:10" x14ac:dyDescent="0.25">
      <c r="E815" s="100"/>
      <c r="F815" s="100"/>
      <c r="G815" s="101"/>
      <c r="H815" s="5"/>
      <c r="I815" s="5"/>
      <c r="J815" s="107"/>
    </row>
    <row r="816" spans="5:10" x14ac:dyDescent="0.25">
      <c r="E816" s="100"/>
      <c r="F816" s="100"/>
      <c r="G816" s="101"/>
      <c r="H816" s="5"/>
      <c r="I816" s="5"/>
      <c r="J816" s="107"/>
    </row>
    <row r="817" spans="5:10" x14ac:dyDescent="0.25">
      <c r="E817" s="100"/>
      <c r="F817" s="100"/>
      <c r="G817" s="101"/>
      <c r="H817" s="5"/>
      <c r="I817" s="5"/>
      <c r="J817" s="107"/>
    </row>
    <row r="818" spans="5:10" x14ac:dyDescent="0.25">
      <c r="E818" s="100"/>
      <c r="F818" s="100"/>
      <c r="G818" s="101"/>
      <c r="H818" s="5"/>
      <c r="I818" s="5"/>
      <c r="J818" s="107"/>
    </row>
    <row r="819" spans="5:10" x14ac:dyDescent="0.25">
      <c r="E819" s="100"/>
      <c r="F819" s="100"/>
      <c r="G819" s="101"/>
      <c r="H819" s="5"/>
      <c r="I819" s="5"/>
      <c r="J819" s="107"/>
    </row>
    <row r="820" spans="5:10" x14ac:dyDescent="0.25">
      <c r="E820" s="100"/>
      <c r="F820" s="100"/>
      <c r="G820" s="101"/>
      <c r="H820" s="5"/>
      <c r="I820" s="5"/>
      <c r="J820" s="107"/>
    </row>
    <row r="821" spans="5:10" x14ac:dyDescent="0.25">
      <c r="E821" s="100"/>
      <c r="F821" s="100"/>
      <c r="G821" s="101"/>
      <c r="H821" s="5"/>
      <c r="I821" s="5"/>
      <c r="J821" s="107"/>
    </row>
    <row r="822" spans="5:10" x14ac:dyDescent="0.25">
      <c r="E822" s="100"/>
      <c r="F822" s="100"/>
      <c r="G822" s="101"/>
      <c r="H822" s="5"/>
      <c r="I822" s="5"/>
      <c r="J822" s="107"/>
    </row>
    <row r="823" spans="5:10" x14ac:dyDescent="0.25">
      <c r="E823" s="100"/>
      <c r="F823" s="100"/>
      <c r="G823" s="101"/>
      <c r="H823" s="5"/>
      <c r="I823" s="5"/>
      <c r="J823" s="107"/>
    </row>
    <row r="824" spans="5:10" x14ac:dyDescent="0.25">
      <c r="E824" s="100"/>
      <c r="F824" s="100"/>
      <c r="G824" s="101"/>
      <c r="H824" s="5"/>
      <c r="I824" s="5"/>
      <c r="J824" s="107"/>
    </row>
    <row r="825" spans="5:10" x14ac:dyDescent="0.25">
      <c r="E825" s="100"/>
      <c r="F825" s="100"/>
      <c r="G825" s="101"/>
      <c r="H825" s="5"/>
      <c r="I825" s="5"/>
      <c r="J825" s="107"/>
    </row>
    <row r="826" spans="5:10" x14ac:dyDescent="0.25">
      <c r="E826" s="100"/>
      <c r="F826" s="100"/>
      <c r="G826" s="101"/>
      <c r="H826" s="5"/>
      <c r="I826" s="5"/>
      <c r="J826" s="107"/>
    </row>
    <row r="827" spans="5:10" x14ac:dyDescent="0.25">
      <c r="E827" s="100"/>
      <c r="F827" s="100"/>
      <c r="G827" s="101"/>
      <c r="H827" s="5"/>
      <c r="I827" s="5"/>
      <c r="J827" s="107"/>
    </row>
    <row r="828" spans="5:10" x14ac:dyDescent="0.25">
      <c r="E828" s="100"/>
      <c r="F828" s="100"/>
      <c r="G828" s="101"/>
      <c r="H828" s="5"/>
      <c r="I828" s="5"/>
      <c r="J828" s="107"/>
    </row>
    <row r="829" spans="5:10" x14ac:dyDescent="0.25">
      <c r="E829" s="100"/>
      <c r="F829" s="100"/>
      <c r="G829" s="101"/>
      <c r="H829" s="5"/>
      <c r="I829" s="5"/>
      <c r="J829" s="107"/>
    </row>
    <row r="830" spans="5:10" x14ac:dyDescent="0.25">
      <c r="E830" s="100"/>
      <c r="F830" s="100"/>
      <c r="G830" s="101"/>
      <c r="H830" s="5"/>
      <c r="I830" s="5"/>
      <c r="J830" s="107"/>
    </row>
    <row r="831" spans="5:10" x14ac:dyDescent="0.25">
      <c r="E831" s="100"/>
      <c r="F831" s="100"/>
      <c r="G831" s="101"/>
      <c r="H831" s="5"/>
      <c r="I831" s="5"/>
      <c r="J831" s="107"/>
    </row>
    <row r="832" spans="5:10" x14ac:dyDescent="0.25">
      <c r="E832" s="100"/>
      <c r="F832" s="100"/>
      <c r="G832" s="101"/>
      <c r="H832" s="5"/>
      <c r="I832" s="5"/>
      <c r="J832" s="107"/>
    </row>
    <row r="833" spans="5:10" x14ac:dyDescent="0.25">
      <c r="E833" s="100"/>
      <c r="F833" s="100"/>
      <c r="G833" s="101"/>
      <c r="H833" s="5"/>
      <c r="I833" s="5"/>
      <c r="J833" s="107"/>
    </row>
    <row r="834" spans="5:10" x14ac:dyDescent="0.25">
      <c r="E834" s="100"/>
      <c r="F834" s="100"/>
      <c r="G834" s="101"/>
      <c r="H834" s="5"/>
      <c r="I834" s="5"/>
      <c r="J834" s="107"/>
    </row>
    <row r="835" spans="5:10" x14ac:dyDescent="0.25">
      <c r="E835" s="100"/>
      <c r="F835" s="100"/>
      <c r="G835" s="101"/>
      <c r="H835" s="5"/>
      <c r="I835" s="5"/>
      <c r="J835" s="107"/>
    </row>
    <row r="836" spans="5:10" x14ac:dyDescent="0.25">
      <c r="E836" s="100"/>
      <c r="F836" s="100"/>
      <c r="G836" s="101"/>
      <c r="H836" s="5"/>
      <c r="I836" s="5"/>
      <c r="J836" s="107"/>
    </row>
    <row r="837" spans="5:10" x14ac:dyDescent="0.25">
      <c r="E837" s="100"/>
      <c r="F837" s="100"/>
      <c r="G837" s="101"/>
      <c r="H837" s="5"/>
      <c r="I837" s="5"/>
      <c r="J837" s="107"/>
    </row>
    <row r="838" spans="5:10" x14ac:dyDescent="0.25">
      <c r="E838" s="100"/>
      <c r="F838" s="100"/>
      <c r="G838" s="101"/>
      <c r="H838" s="5"/>
      <c r="I838" s="5"/>
      <c r="J838" s="107"/>
    </row>
    <row r="839" spans="5:10" x14ac:dyDescent="0.25">
      <c r="E839" s="100"/>
      <c r="F839" s="100"/>
      <c r="G839" s="101"/>
      <c r="H839" s="5"/>
      <c r="I839" s="5"/>
      <c r="J839" s="107"/>
    </row>
    <row r="840" spans="5:10" x14ac:dyDescent="0.25">
      <c r="E840" s="100"/>
      <c r="F840" s="100"/>
      <c r="G840" s="101"/>
      <c r="H840" s="5"/>
      <c r="I840" s="5"/>
      <c r="J840" s="107"/>
    </row>
    <row r="841" spans="5:10" x14ac:dyDescent="0.25">
      <c r="E841" s="100"/>
      <c r="F841" s="100"/>
      <c r="G841" s="101"/>
      <c r="H841" s="5"/>
      <c r="I841" s="5"/>
      <c r="J841" s="107"/>
    </row>
    <row r="842" spans="5:10" x14ac:dyDescent="0.25">
      <c r="E842" s="100"/>
      <c r="F842" s="100"/>
      <c r="G842" s="101"/>
      <c r="H842" s="5"/>
      <c r="I842" s="5"/>
      <c r="J842" s="107"/>
    </row>
    <row r="843" spans="5:10" x14ac:dyDescent="0.25">
      <c r="E843" s="100"/>
      <c r="F843" s="100"/>
      <c r="G843" s="101"/>
      <c r="H843" s="5"/>
      <c r="I843" s="5"/>
      <c r="J843" s="107"/>
    </row>
    <row r="844" spans="5:10" x14ac:dyDescent="0.25">
      <c r="E844" s="100"/>
      <c r="F844" s="100"/>
      <c r="G844" s="101"/>
      <c r="H844" s="5"/>
      <c r="I844" s="5"/>
      <c r="J844" s="107"/>
    </row>
    <row r="845" spans="5:10" x14ac:dyDescent="0.25">
      <c r="E845" s="100"/>
      <c r="F845" s="100"/>
      <c r="G845" s="101"/>
      <c r="H845" s="5"/>
      <c r="I845" s="5"/>
      <c r="J845" s="107"/>
    </row>
    <row r="846" spans="5:10" x14ac:dyDescent="0.25">
      <c r="E846" s="100"/>
      <c r="F846" s="100"/>
      <c r="G846" s="101"/>
      <c r="H846" s="5"/>
      <c r="I846" s="5"/>
      <c r="J846" s="107"/>
    </row>
    <row r="847" spans="5:10" x14ac:dyDescent="0.25">
      <c r="E847" s="100"/>
      <c r="F847" s="100"/>
      <c r="G847" s="101"/>
      <c r="H847" s="5"/>
      <c r="I847" s="5"/>
      <c r="J847" s="107"/>
    </row>
    <row r="848" spans="5:10" x14ac:dyDescent="0.25">
      <c r="E848" s="100"/>
      <c r="F848" s="100"/>
      <c r="G848" s="101"/>
      <c r="H848" s="5"/>
      <c r="I848" s="5"/>
      <c r="J848" s="107"/>
    </row>
    <row r="849" spans="5:10" x14ac:dyDescent="0.25">
      <c r="E849" s="100"/>
      <c r="F849" s="100"/>
      <c r="G849" s="101"/>
      <c r="H849" s="5"/>
      <c r="I849" s="5"/>
      <c r="J849" s="107"/>
    </row>
    <row r="850" spans="5:10" x14ac:dyDescent="0.25">
      <c r="E850" s="100"/>
      <c r="F850" s="100"/>
      <c r="G850" s="101"/>
      <c r="H850" s="5"/>
      <c r="I850" s="5"/>
      <c r="J850" s="107"/>
    </row>
    <row r="851" spans="5:10" x14ac:dyDescent="0.25">
      <c r="E851" s="100"/>
      <c r="F851" s="100"/>
      <c r="G851" s="101"/>
      <c r="H851" s="5"/>
      <c r="I851" s="5"/>
      <c r="J851" s="107"/>
    </row>
    <row r="852" spans="5:10" x14ac:dyDescent="0.25">
      <c r="E852" s="100"/>
      <c r="F852" s="100"/>
      <c r="G852" s="101"/>
      <c r="H852" s="5"/>
      <c r="I852" s="5"/>
      <c r="J852" s="107"/>
    </row>
    <row r="853" spans="5:10" x14ac:dyDescent="0.25">
      <c r="E853" s="100"/>
      <c r="F853" s="100"/>
      <c r="G853" s="101"/>
      <c r="H853" s="5"/>
      <c r="I853" s="5"/>
      <c r="J853" s="107"/>
    </row>
    <row r="854" spans="5:10" x14ac:dyDescent="0.25">
      <c r="E854" s="100"/>
      <c r="F854" s="100"/>
      <c r="G854" s="101"/>
      <c r="H854" s="5"/>
      <c r="I854" s="5"/>
      <c r="J854" s="107"/>
    </row>
    <row r="855" spans="5:10" x14ac:dyDescent="0.25">
      <c r="E855" s="100"/>
      <c r="F855" s="100"/>
      <c r="G855" s="101"/>
      <c r="H855" s="5"/>
      <c r="I855" s="5"/>
      <c r="J855" s="107"/>
    </row>
    <row r="856" spans="5:10" x14ac:dyDescent="0.25">
      <c r="E856" s="100"/>
      <c r="F856" s="100"/>
      <c r="G856" s="101"/>
      <c r="H856" s="5"/>
      <c r="I856" s="5"/>
      <c r="J856" s="107"/>
    </row>
    <row r="857" spans="5:10" x14ac:dyDescent="0.25">
      <c r="E857" s="100"/>
      <c r="F857" s="100"/>
      <c r="G857" s="101"/>
      <c r="H857" s="5"/>
      <c r="I857" s="5"/>
      <c r="J857" s="107"/>
    </row>
    <row r="858" spans="5:10" x14ac:dyDescent="0.25">
      <c r="E858" s="100"/>
      <c r="F858" s="100"/>
      <c r="G858" s="101"/>
      <c r="H858" s="5"/>
      <c r="I858" s="5"/>
      <c r="J858" s="107"/>
    </row>
    <row r="859" spans="5:10" x14ac:dyDescent="0.25">
      <c r="E859" s="100"/>
      <c r="F859" s="100"/>
      <c r="G859" s="101"/>
      <c r="H859" s="5"/>
      <c r="I859" s="5"/>
      <c r="J859" s="107"/>
    </row>
    <row r="860" spans="5:10" x14ac:dyDescent="0.25">
      <c r="E860" s="100"/>
      <c r="F860" s="100"/>
      <c r="G860" s="101"/>
      <c r="H860" s="5"/>
      <c r="I860" s="5"/>
      <c r="J860" s="107"/>
    </row>
    <row r="861" spans="5:10" x14ac:dyDescent="0.25">
      <c r="E861" s="100"/>
      <c r="F861" s="100"/>
      <c r="G861" s="101"/>
      <c r="H861" s="5"/>
      <c r="I861" s="5"/>
      <c r="J861" s="107"/>
    </row>
    <row r="862" spans="5:10" x14ac:dyDescent="0.25">
      <c r="E862" s="100"/>
      <c r="F862" s="100"/>
      <c r="G862" s="101"/>
      <c r="H862" s="5"/>
      <c r="I862" s="5"/>
      <c r="J862" s="107"/>
    </row>
    <row r="863" spans="5:10" x14ac:dyDescent="0.25">
      <c r="E863" s="100"/>
      <c r="F863" s="100"/>
      <c r="G863" s="101"/>
      <c r="H863" s="5"/>
      <c r="I863" s="5"/>
      <c r="J863" s="107"/>
    </row>
    <row r="864" spans="5:10" x14ac:dyDescent="0.25">
      <c r="E864" s="100"/>
      <c r="F864" s="100"/>
      <c r="G864" s="101"/>
      <c r="H864" s="5"/>
      <c r="I864" s="5"/>
      <c r="J864" s="107"/>
    </row>
    <row r="865" spans="5:10" x14ac:dyDescent="0.25">
      <c r="E865" s="100"/>
      <c r="F865" s="100"/>
      <c r="G865" s="101"/>
      <c r="H865" s="5"/>
      <c r="I865" s="5"/>
      <c r="J865" s="107"/>
    </row>
    <row r="866" spans="5:10" x14ac:dyDescent="0.25">
      <c r="E866" s="100"/>
      <c r="F866" s="100"/>
      <c r="G866" s="101"/>
      <c r="H866" s="5"/>
      <c r="I866" s="5"/>
      <c r="J866" s="107"/>
    </row>
    <row r="867" spans="5:10" x14ac:dyDescent="0.25">
      <c r="E867" s="100"/>
      <c r="F867" s="100"/>
      <c r="G867" s="101"/>
      <c r="H867" s="5"/>
      <c r="I867" s="5"/>
      <c r="J867" s="107"/>
    </row>
    <row r="868" spans="5:10" x14ac:dyDescent="0.25">
      <c r="E868" s="100"/>
      <c r="F868" s="100"/>
      <c r="G868" s="101"/>
      <c r="H868" s="5"/>
      <c r="I868" s="5"/>
      <c r="J868" s="107"/>
    </row>
    <row r="869" spans="5:10" x14ac:dyDescent="0.25">
      <c r="E869" s="100"/>
      <c r="F869" s="100"/>
      <c r="G869" s="101"/>
      <c r="H869" s="5"/>
      <c r="I869" s="5"/>
      <c r="J869" s="107"/>
    </row>
    <row r="870" spans="5:10" x14ac:dyDescent="0.25">
      <c r="E870" s="100"/>
      <c r="F870" s="100"/>
      <c r="G870" s="101"/>
      <c r="H870" s="5"/>
      <c r="I870" s="5"/>
      <c r="J870" s="107"/>
    </row>
    <row r="871" spans="5:10" x14ac:dyDescent="0.25">
      <c r="E871" s="100"/>
      <c r="F871" s="100"/>
      <c r="G871" s="101"/>
      <c r="H871" s="5"/>
      <c r="I871" s="5"/>
      <c r="J871" s="107"/>
    </row>
    <row r="872" spans="5:10" x14ac:dyDescent="0.25">
      <c r="E872" s="100"/>
      <c r="F872" s="100"/>
      <c r="G872" s="101"/>
      <c r="H872" s="5"/>
      <c r="I872" s="5"/>
      <c r="J872" s="107"/>
    </row>
    <row r="873" spans="5:10" x14ac:dyDescent="0.25">
      <c r="E873" s="100"/>
      <c r="F873" s="100"/>
      <c r="G873" s="101"/>
      <c r="H873" s="5"/>
      <c r="I873" s="5"/>
      <c r="J873" s="107"/>
    </row>
    <row r="874" spans="5:10" x14ac:dyDescent="0.25">
      <c r="E874" s="100"/>
      <c r="F874" s="100"/>
      <c r="G874" s="101"/>
      <c r="H874" s="5"/>
      <c r="I874" s="5"/>
      <c r="J874" s="107"/>
    </row>
    <row r="875" spans="5:10" x14ac:dyDescent="0.25">
      <c r="E875" s="100"/>
      <c r="F875" s="100"/>
      <c r="G875" s="101"/>
      <c r="H875" s="5"/>
      <c r="I875" s="5"/>
      <c r="J875" s="107"/>
    </row>
    <row r="876" spans="5:10" x14ac:dyDescent="0.25">
      <c r="E876" s="100"/>
      <c r="F876" s="100"/>
      <c r="G876" s="101"/>
      <c r="H876" s="5"/>
      <c r="I876" s="5"/>
      <c r="J876" s="107"/>
    </row>
    <row r="877" spans="5:10" x14ac:dyDescent="0.25">
      <c r="E877" s="100"/>
      <c r="F877" s="100"/>
      <c r="G877" s="101"/>
      <c r="H877" s="5"/>
      <c r="I877" s="5"/>
      <c r="J877" s="107"/>
    </row>
    <row r="878" spans="5:10" x14ac:dyDescent="0.25">
      <c r="E878" s="100"/>
      <c r="F878" s="100"/>
      <c r="G878" s="101"/>
      <c r="H878" s="5"/>
      <c r="I878" s="5"/>
      <c r="J878" s="107"/>
    </row>
    <row r="879" spans="5:10" x14ac:dyDescent="0.25">
      <c r="E879" s="100"/>
      <c r="F879" s="100"/>
      <c r="G879" s="101"/>
      <c r="H879" s="5"/>
      <c r="I879" s="5"/>
      <c r="J879" s="107"/>
    </row>
    <row r="880" spans="5:10" x14ac:dyDescent="0.25">
      <c r="E880" s="100"/>
      <c r="F880" s="100"/>
      <c r="G880" s="101"/>
      <c r="H880" s="5"/>
      <c r="I880" s="5"/>
      <c r="J880" s="107"/>
    </row>
    <row r="881" spans="5:10" x14ac:dyDescent="0.25">
      <c r="E881" s="100"/>
      <c r="F881" s="100"/>
      <c r="G881" s="101"/>
      <c r="H881" s="5"/>
      <c r="I881" s="5"/>
      <c r="J881" s="107"/>
    </row>
    <row r="882" spans="5:10" x14ac:dyDescent="0.25">
      <c r="E882" s="100"/>
      <c r="F882" s="100"/>
      <c r="G882" s="101"/>
      <c r="H882" s="5"/>
      <c r="I882" s="5"/>
      <c r="J882" s="107"/>
    </row>
    <row r="883" spans="5:10" x14ac:dyDescent="0.25">
      <c r="E883" s="100"/>
      <c r="F883" s="100"/>
      <c r="G883" s="101"/>
      <c r="H883" s="5"/>
      <c r="I883" s="5"/>
      <c r="J883" s="107"/>
    </row>
    <row r="884" spans="5:10" x14ac:dyDescent="0.25">
      <c r="E884" s="100"/>
      <c r="F884" s="100"/>
      <c r="G884" s="101"/>
      <c r="H884" s="5"/>
      <c r="I884" s="5"/>
      <c r="J884" s="107"/>
    </row>
    <row r="885" spans="5:10" x14ac:dyDescent="0.25">
      <c r="E885" s="100"/>
      <c r="F885" s="100"/>
      <c r="G885" s="101"/>
      <c r="H885" s="5"/>
      <c r="I885" s="5"/>
      <c r="J885" s="107"/>
    </row>
    <row r="886" spans="5:10" x14ac:dyDescent="0.25">
      <c r="E886" s="100"/>
      <c r="F886" s="100"/>
      <c r="G886" s="101"/>
      <c r="H886" s="5"/>
      <c r="I886" s="5"/>
      <c r="J886" s="107"/>
    </row>
    <row r="887" spans="5:10" x14ac:dyDescent="0.25">
      <c r="E887" s="100"/>
      <c r="F887" s="100"/>
      <c r="G887" s="101"/>
      <c r="H887" s="5"/>
      <c r="I887" s="5"/>
      <c r="J887" s="107"/>
    </row>
    <row r="888" spans="5:10" x14ac:dyDescent="0.25">
      <c r="E888" s="100"/>
      <c r="F888" s="100"/>
      <c r="G888" s="101"/>
      <c r="H888" s="5"/>
      <c r="I888" s="5"/>
      <c r="J888" s="107"/>
    </row>
    <row r="889" spans="5:10" x14ac:dyDescent="0.25">
      <c r="E889" s="100"/>
      <c r="F889" s="100"/>
      <c r="G889" s="101"/>
      <c r="H889" s="5"/>
      <c r="I889" s="5"/>
      <c r="J889" s="107"/>
    </row>
    <row r="890" spans="5:10" x14ac:dyDescent="0.25">
      <c r="E890" s="100"/>
      <c r="F890" s="100"/>
      <c r="G890" s="101"/>
      <c r="H890" s="5"/>
      <c r="I890" s="5"/>
      <c r="J890" s="107"/>
    </row>
    <row r="891" spans="5:10" x14ac:dyDescent="0.25">
      <c r="E891" s="100"/>
      <c r="F891" s="100"/>
      <c r="G891" s="101"/>
      <c r="H891" s="5"/>
      <c r="I891" s="5"/>
      <c r="J891" s="107"/>
    </row>
    <row r="892" spans="5:10" x14ac:dyDescent="0.25">
      <c r="E892" s="100"/>
      <c r="F892" s="100"/>
      <c r="G892" s="101"/>
      <c r="H892" s="5"/>
      <c r="I892" s="5"/>
      <c r="J892" s="107"/>
    </row>
    <row r="893" spans="5:10" x14ac:dyDescent="0.25">
      <c r="E893" s="100"/>
      <c r="F893" s="100"/>
      <c r="G893" s="101"/>
      <c r="H893" s="5"/>
      <c r="I893" s="5"/>
      <c r="J893" s="107"/>
    </row>
    <row r="894" spans="5:10" x14ac:dyDescent="0.25">
      <c r="E894" s="100"/>
      <c r="F894" s="100"/>
      <c r="G894" s="101"/>
      <c r="H894" s="5"/>
      <c r="I894" s="5"/>
      <c r="J894" s="107"/>
    </row>
    <row r="895" spans="5:10" x14ac:dyDescent="0.25">
      <c r="E895" s="100"/>
      <c r="F895" s="100"/>
      <c r="G895" s="101"/>
      <c r="H895" s="5"/>
      <c r="I895" s="5"/>
      <c r="J895" s="107"/>
    </row>
    <row r="896" spans="5:10" x14ac:dyDescent="0.25">
      <c r="E896" s="100"/>
      <c r="F896" s="100"/>
      <c r="G896" s="101"/>
      <c r="H896" s="5"/>
      <c r="I896" s="5"/>
      <c r="J896" s="107"/>
    </row>
    <row r="897" spans="5:10" x14ac:dyDescent="0.25">
      <c r="E897" s="100"/>
      <c r="F897" s="100"/>
      <c r="G897" s="101"/>
      <c r="H897" s="5"/>
      <c r="I897" s="5"/>
      <c r="J897" s="107"/>
    </row>
    <row r="898" spans="5:10" x14ac:dyDescent="0.25">
      <c r="E898" s="100"/>
      <c r="F898" s="100"/>
      <c r="G898" s="101"/>
      <c r="H898" s="5"/>
      <c r="I898" s="5"/>
      <c r="J898" s="107"/>
    </row>
    <row r="899" spans="5:10" x14ac:dyDescent="0.25">
      <c r="E899" s="100"/>
      <c r="F899" s="100"/>
      <c r="G899" s="101"/>
      <c r="H899" s="5"/>
      <c r="I899" s="5"/>
      <c r="J899" s="107"/>
    </row>
    <row r="900" spans="5:10" x14ac:dyDescent="0.25">
      <c r="E900" s="100"/>
      <c r="F900" s="100"/>
      <c r="G900" s="101"/>
      <c r="H900" s="5"/>
      <c r="I900" s="5"/>
      <c r="J900" s="107"/>
    </row>
    <row r="901" spans="5:10" x14ac:dyDescent="0.25">
      <c r="E901" s="100"/>
      <c r="F901" s="100"/>
      <c r="G901" s="101"/>
      <c r="H901" s="5"/>
      <c r="I901" s="5"/>
      <c r="J901" s="107"/>
    </row>
    <row r="902" spans="5:10" x14ac:dyDescent="0.25">
      <c r="E902" s="100"/>
      <c r="F902" s="100"/>
      <c r="G902" s="101"/>
      <c r="H902" s="5"/>
      <c r="I902" s="5"/>
      <c r="J902" s="107"/>
    </row>
    <row r="903" spans="5:10" x14ac:dyDescent="0.25">
      <c r="E903" s="100"/>
      <c r="F903" s="100"/>
      <c r="G903" s="101"/>
      <c r="H903" s="5"/>
      <c r="I903" s="5"/>
      <c r="J903" s="107"/>
    </row>
    <row r="904" spans="5:10" x14ac:dyDescent="0.25">
      <c r="E904" s="100"/>
      <c r="F904" s="100"/>
      <c r="G904" s="101"/>
      <c r="H904" s="5"/>
      <c r="I904" s="5"/>
      <c r="J904" s="107"/>
    </row>
    <row r="905" spans="5:10" x14ac:dyDescent="0.25">
      <c r="E905" s="100"/>
      <c r="F905" s="100"/>
      <c r="G905" s="101"/>
      <c r="H905" s="5"/>
      <c r="I905" s="5"/>
      <c r="J905" s="107"/>
    </row>
    <row r="906" spans="5:10" x14ac:dyDescent="0.25">
      <c r="E906" s="100"/>
      <c r="F906" s="100"/>
      <c r="G906" s="101"/>
      <c r="H906" s="5"/>
      <c r="I906" s="5"/>
      <c r="J906" s="107"/>
    </row>
    <row r="907" spans="5:10" x14ac:dyDescent="0.25">
      <c r="E907" s="100"/>
      <c r="F907" s="100"/>
      <c r="G907" s="101"/>
      <c r="H907" s="5"/>
      <c r="I907" s="5"/>
      <c r="J907" s="107"/>
    </row>
    <row r="908" spans="5:10" x14ac:dyDescent="0.25">
      <c r="E908" s="100"/>
      <c r="F908" s="100"/>
      <c r="G908" s="101"/>
      <c r="H908" s="5"/>
      <c r="I908" s="5"/>
      <c r="J908" s="107"/>
    </row>
    <row r="909" spans="5:10" x14ac:dyDescent="0.25">
      <c r="E909" s="100"/>
      <c r="F909" s="100"/>
      <c r="G909" s="101"/>
      <c r="H909" s="5"/>
      <c r="I909" s="5"/>
      <c r="J909" s="107"/>
    </row>
    <row r="910" spans="5:10" x14ac:dyDescent="0.25">
      <c r="E910" s="100"/>
      <c r="F910" s="100"/>
      <c r="G910" s="101"/>
      <c r="H910" s="5"/>
      <c r="I910" s="5"/>
      <c r="J910" s="107"/>
    </row>
    <row r="911" spans="5:10" x14ac:dyDescent="0.25">
      <c r="E911" s="100"/>
      <c r="F911" s="100"/>
      <c r="G911" s="101"/>
      <c r="H911" s="5"/>
      <c r="I911" s="5"/>
      <c r="J911" s="107"/>
    </row>
    <row r="912" spans="5:10" x14ac:dyDescent="0.25">
      <c r="E912" s="100"/>
      <c r="F912" s="100"/>
      <c r="G912" s="101"/>
      <c r="H912" s="5"/>
      <c r="I912" s="5"/>
      <c r="J912" s="107"/>
    </row>
    <row r="913" spans="5:10" x14ac:dyDescent="0.25">
      <c r="E913" s="100"/>
      <c r="F913" s="100"/>
      <c r="G913" s="101"/>
      <c r="H913" s="5"/>
      <c r="I913" s="5"/>
      <c r="J913" s="107"/>
    </row>
    <row r="914" spans="5:10" x14ac:dyDescent="0.25">
      <c r="E914" s="100"/>
      <c r="F914" s="100"/>
      <c r="G914" s="101"/>
      <c r="H914" s="5"/>
      <c r="I914" s="5"/>
      <c r="J914" s="107"/>
    </row>
    <row r="915" spans="5:10" x14ac:dyDescent="0.25">
      <c r="E915" s="100"/>
      <c r="F915" s="100"/>
      <c r="G915" s="101"/>
      <c r="H915" s="5"/>
      <c r="I915" s="5"/>
      <c r="J915" s="107"/>
    </row>
    <row r="916" spans="5:10" x14ac:dyDescent="0.25">
      <c r="E916" s="100"/>
      <c r="F916" s="100"/>
      <c r="G916" s="101"/>
      <c r="H916" s="5"/>
      <c r="I916" s="5"/>
      <c r="J916" s="107"/>
    </row>
    <row r="917" spans="5:10" x14ac:dyDescent="0.25">
      <c r="E917" s="100"/>
      <c r="F917" s="100"/>
      <c r="G917" s="101"/>
      <c r="H917" s="5"/>
      <c r="I917" s="5"/>
      <c r="J917" s="107"/>
    </row>
    <row r="918" spans="5:10" x14ac:dyDescent="0.25">
      <c r="E918" s="100"/>
      <c r="F918" s="100"/>
      <c r="G918" s="101"/>
      <c r="H918" s="5"/>
      <c r="I918" s="5"/>
      <c r="J918" s="107"/>
    </row>
    <row r="919" spans="5:10" x14ac:dyDescent="0.25">
      <c r="E919" s="100"/>
      <c r="F919" s="100"/>
      <c r="G919" s="101"/>
      <c r="H919" s="5"/>
      <c r="I919" s="5"/>
      <c r="J919" s="107"/>
    </row>
    <row r="920" spans="5:10" x14ac:dyDescent="0.25">
      <c r="E920" s="100"/>
      <c r="F920" s="100"/>
      <c r="G920" s="101"/>
      <c r="H920" s="5"/>
      <c r="I920" s="5"/>
      <c r="J920" s="107"/>
    </row>
    <row r="921" spans="5:10" x14ac:dyDescent="0.25">
      <c r="E921" s="100"/>
      <c r="F921" s="100"/>
      <c r="G921" s="101"/>
      <c r="H921" s="5"/>
      <c r="I921" s="5"/>
      <c r="J921" s="107"/>
    </row>
    <row r="922" spans="5:10" x14ac:dyDescent="0.25">
      <c r="E922" s="100"/>
      <c r="F922" s="100"/>
      <c r="G922" s="101"/>
      <c r="H922" s="5"/>
      <c r="I922" s="5"/>
      <c r="J922" s="107"/>
    </row>
    <row r="923" spans="5:10" x14ac:dyDescent="0.25">
      <c r="E923" s="100"/>
      <c r="F923" s="100"/>
      <c r="G923" s="101"/>
      <c r="H923" s="5"/>
      <c r="I923" s="5"/>
      <c r="J923" s="107"/>
    </row>
    <row r="924" spans="5:10" x14ac:dyDescent="0.25">
      <c r="E924" s="100"/>
      <c r="F924" s="100"/>
      <c r="G924" s="101"/>
      <c r="H924" s="5"/>
      <c r="I924" s="5"/>
      <c r="J924" s="107"/>
    </row>
    <row r="925" spans="5:10" x14ac:dyDescent="0.25">
      <c r="E925" s="100"/>
      <c r="F925" s="100"/>
      <c r="G925" s="101"/>
      <c r="H925" s="5"/>
      <c r="I925" s="5"/>
      <c r="J925" s="107"/>
    </row>
    <row r="926" spans="5:10" x14ac:dyDescent="0.25">
      <c r="E926" s="100"/>
      <c r="F926" s="100"/>
      <c r="G926" s="101"/>
      <c r="H926" s="5"/>
      <c r="I926" s="5"/>
      <c r="J926" s="107"/>
    </row>
    <row r="927" spans="5:10" x14ac:dyDescent="0.25">
      <c r="E927" s="100"/>
      <c r="F927" s="100"/>
      <c r="G927" s="101"/>
      <c r="H927" s="5"/>
      <c r="I927" s="5"/>
      <c r="J927" s="107"/>
    </row>
    <row r="928" spans="5:10" x14ac:dyDescent="0.25">
      <c r="E928" s="100"/>
      <c r="F928" s="100"/>
      <c r="G928" s="101"/>
      <c r="H928" s="5"/>
      <c r="I928" s="5"/>
      <c r="J928" s="107"/>
    </row>
    <row r="929" spans="5:10" x14ac:dyDescent="0.25">
      <c r="E929" s="100"/>
      <c r="F929" s="100"/>
      <c r="G929" s="101"/>
      <c r="H929" s="5"/>
      <c r="I929" s="5"/>
      <c r="J929" s="107"/>
    </row>
    <row r="930" spans="5:10" x14ac:dyDescent="0.25">
      <c r="E930" s="100"/>
      <c r="F930" s="100"/>
      <c r="G930" s="101"/>
      <c r="H930" s="5"/>
      <c r="I930" s="5"/>
      <c r="J930" s="107"/>
    </row>
    <row r="931" spans="5:10" x14ac:dyDescent="0.25">
      <c r="E931" s="100"/>
      <c r="F931" s="100"/>
      <c r="G931" s="101"/>
      <c r="H931" s="5"/>
      <c r="I931" s="5"/>
      <c r="J931" s="107"/>
    </row>
    <row r="932" spans="5:10" x14ac:dyDescent="0.25">
      <c r="E932" s="100"/>
      <c r="F932" s="100"/>
      <c r="G932" s="101"/>
      <c r="H932" s="5"/>
      <c r="I932" s="5"/>
      <c r="J932" s="107"/>
    </row>
    <row r="933" spans="5:10" x14ac:dyDescent="0.25">
      <c r="E933" s="100"/>
      <c r="F933" s="100"/>
      <c r="G933" s="101"/>
      <c r="H933" s="5"/>
      <c r="I933" s="5"/>
      <c r="J933" s="107"/>
    </row>
    <row r="934" spans="5:10" x14ac:dyDescent="0.25">
      <c r="E934" s="100"/>
      <c r="F934" s="100"/>
      <c r="G934" s="101"/>
      <c r="H934" s="5"/>
      <c r="I934" s="5"/>
      <c r="J934" s="107"/>
    </row>
    <row r="935" spans="5:10" x14ac:dyDescent="0.25">
      <c r="E935" s="100"/>
      <c r="F935" s="100"/>
      <c r="G935" s="101"/>
      <c r="H935" s="5"/>
      <c r="I935" s="5"/>
      <c r="J935" s="107"/>
    </row>
    <row r="936" spans="5:10" x14ac:dyDescent="0.25">
      <c r="E936" s="100"/>
      <c r="F936" s="100"/>
      <c r="G936" s="101"/>
      <c r="H936" s="5"/>
      <c r="I936" s="5"/>
      <c r="J936" s="107"/>
    </row>
    <row r="937" spans="5:10" x14ac:dyDescent="0.25">
      <c r="E937" s="100"/>
      <c r="F937" s="100"/>
      <c r="G937" s="101"/>
      <c r="H937" s="5"/>
      <c r="I937" s="5"/>
      <c r="J937" s="107"/>
    </row>
    <row r="938" spans="5:10" x14ac:dyDescent="0.25">
      <c r="E938" s="100"/>
      <c r="F938" s="100"/>
      <c r="G938" s="101"/>
      <c r="H938" s="5"/>
      <c r="I938" s="5"/>
      <c r="J938" s="107"/>
    </row>
    <row r="939" spans="5:10" x14ac:dyDescent="0.25">
      <c r="E939" s="100"/>
      <c r="F939" s="100"/>
      <c r="G939" s="101"/>
      <c r="H939" s="5"/>
      <c r="I939" s="5"/>
      <c r="J939" s="107"/>
    </row>
    <row r="940" spans="5:10" x14ac:dyDescent="0.25">
      <c r="E940" s="100"/>
      <c r="F940" s="100"/>
      <c r="G940" s="101"/>
      <c r="H940" s="5"/>
      <c r="I940" s="5"/>
      <c r="J940" s="107"/>
    </row>
    <row r="941" spans="5:10" x14ac:dyDescent="0.25">
      <c r="E941" s="100"/>
      <c r="F941" s="100"/>
      <c r="G941" s="101"/>
      <c r="H941" s="5"/>
      <c r="I941" s="5"/>
      <c r="J941" s="107"/>
    </row>
    <row r="942" spans="5:10" x14ac:dyDescent="0.25">
      <c r="E942" s="100"/>
      <c r="F942" s="100"/>
      <c r="G942" s="101"/>
      <c r="H942" s="5"/>
      <c r="I942" s="5"/>
      <c r="J942" s="107"/>
    </row>
    <row r="943" spans="5:10" x14ac:dyDescent="0.25">
      <c r="E943" s="100"/>
      <c r="F943" s="100"/>
      <c r="G943" s="101"/>
      <c r="H943" s="5"/>
      <c r="I943" s="5"/>
      <c r="J943" s="107"/>
    </row>
    <row r="944" spans="5:10" x14ac:dyDescent="0.25">
      <c r="E944" s="100"/>
      <c r="F944" s="100"/>
      <c r="G944" s="101"/>
      <c r="H944" s="5"/>
      <c r="I944" s="5"/>
      <c r="J944" s="107"/>
    </row>
    <row r="945" spans="5:10" x14ac:dyDescent="0.25">
      <c r="E945" s="100"/>
      <c r="F945" s="100"/>
      <c r="G945" s="101"/>
      <c r="H945" s="5"/>
      <c r="I945" s="5"/>
      <c r="J945" s="107"/>
    </row>
    <row r="946" spans="5:10" x14ac:dyDescent="0.25">
      <c r="E946" s="100"/>
      <c r="F946" s="100"/>
      <c r="G946" s="101"/>
      <c r="H946" s="5"/>
      <c r="I946" s="5"/>
      <c r="J946" s="107"/>
    </row>
    <row r="947" spans="5:10" x14ac:dyDescent="0.25">
      <c r="E947" s="100"/>
      <c r="F947" s="100"/>
      <c r="G947" s="101"/>
      <c r="H947" s="5"/>
      <c r="I947" s="5"/>
      <c r="J947" s="107"/>
    </row>
    <row r="948" spans="5:10" x14ac:dyDescent="0.25">
      <c r="E948" s="100"/>
      <c r="F948" s="100"/>
      <c r="G948" s="101"/>
      <c r="H948" s="5"/>
      <c r="I948" s="5"/>
      <c r="J948" s="107"/>
    </row>
    <row r="949" spans="5:10" x14ac:dyDescent="0.25">
      <c r="E949" s="100"/>
      <c r="F949" s="100"/>
      <c r="G949" s="101"/>
      <c r="H949" s="5"/>
      <c r="I949" s="5"/>
      <c r="J949" s="107"/>
    </row>
    <row r="950" spans="5:10" x14ac:dyDescent="0.25">
      <c r="E950" s="100"/>
      <c r="F950" s="100"/>
      <c r="G950" s="101"/>
      <c r="H950" s="5"/>
      <c r="I950" s="5"/>
      <c r="J950" s="107"/>
    </row>
    <row r="951" spans="5:10" x14ac:dyDescent="0.25">
      <c r="E951" s="100"/>
      <c r="F951" s="100"/>
      <c r="G951" s="101"/>
      <c r="H951" s="5"/>
      <c r="I951" s="5"/>
      <c r="J951" s="107"/>
    </row>
    <row r="952" spans="5:10" x14ac:dyDescent="0.25">
      <c r="E952" s="100"/>
      <c r="F952" s="100"/>
      <c r="G952" s="101"/>
      <c r="H952" s="5"/>
      <c r="I952" s="5"/>
      <c r="J952" s="107"/>
    </row>
    <row r="953" spans="5:10" x14ac:dyDescent="0.25">
      <c r="E953" s="100"/>
      <c r="F953" s="100"/>
      <c r="G953" s="101"/>
      <c r="H953" s="5"/>
      <c r="I953" s="5"/>
      <c r="J953" s="107"/>
    </row>
    <row r="954" spans="5:10" x14ac:dyDescent="0.25">
      <c r="E954" s="100"/>
      <c r="F954" s="100"/>
      <c r="G954" s="101"/>
      <c r="H954" s="5"/>
      <c r="I954" s="5"/>
      <c r="J954" s="107"/>
    </row>
    <row r="955" spans="5:10" x14ac:dyDescent="0.25">
      <c r="E955" s="100"/>
      <c r="F955" s="100"/>
      <c r="G955" s="101"/>
      <c r="H955" s="5"/>
      <c r="I955" s="5"/>
      <c r="J955" s="107"/>
    </row>
    <row r="956" spans="5:10" x14ac:dyDescent="0.25">
      <c r="E956" s="100"/>
      <c r="F956" s="100"/>
      <c r="G956" s="101"/>
      <c r="H956" s="5"/>
      <c r="I956" s="5"/>
      <c r="J956" s="107"/>
    </row>
    <row r="957" spans="5:10" x14ac:dyDescent="0.25">
      <c r="E957" s="100"/>
      <c r="F957" s="100"/>
      <c r="G957" s="101"/>
      <c r="H957" s="5"/>
      <c r="I957" s="5"/>
      <c r="J957" s="107"/>
    </row>
    <row r="958" spans="5:10" x14ac:dyDescent="0.25">
      <c r="E958" s="100"/>
      <c r="F958" s="100"/>
      <c r="G958" s="101"/>
      <c r="H958" s="5"/>
      <c r="I958" s="5"/>
      <c r="J958" s="107"/>
    </row>
    <row r="959" spans="5:10" x14ac:dyDescent="0.25">
      <c r="E959" s="100"/>
      <c r="F959" s="100"/>
      <c r="G959" s="101"/>
      <c r="H959" s="5"/>
      <c r="I959" s="5"/>
      <c r="J959" s="107"/>
    </row>
    <row r="960" spans="5:10" x14ac:dyDescent="0.25">
      <c r="E960" s="100"/>
      <c r="F960" s="100"/>
      <c r="G960" s="101"/>
      <c r="H960" s="5"/>
      <c r="I960" s="5"/>
      <c r="J960" s="107"/>
    </row>
    <row r="961" spans="5:10" x14ac:dyDescent="0.25">
      <c r="E961" s="100"/>
      <c r="F961" s="100"/>
      <c r="G961" s="101"/>
      <c r="H961" s="5"/>
      <c r="I961" s="5"/>
      <c r="J961" s="107"/>
    </row>
    <row r="962" spans="5:10" x14ac:dyDescent="0.25">
      <c r="E962" s="100"/>
      <c r="F962" s="100"/>
      <c r="G962" s="101"/>
      <c r="H962" s="5"/>
      <c r="I962" s="5"/>
      <c r="J962" s="107"/>
    </row>
    <row r="963" spans="5:10" x14ac:dyDescent="0.25">
      <c r="E963" s="100"/>
      <c r="F963" s="100"/>
      <c r="G963" s="101"/>
      <c r="H963" s="5"/>
      <c r="I963" s="5"/>
      <c r="J963" s="107"/>
    </row>
    <row r="964" spans="5:10" x14ac:dyDescent="0.25">
      <c r="E964" s="100"/>
      <c r="F964" s="100"/>
      <c r="G964" s="101"/>
      <c r="H964" s="5"/>
      <c r="I964" s="5"/>
      <c r="J964" s="107"/>
    </row>
    <row r="965" spans="5:10" x14ac:dyDescent="0.25">
      <c r="E965" s="100"/>
      <c r="F965" s="100"/>
      <c r="G965" s="101"/>
      <c r="H965" s="5"/>
      <c r="I965" s="5"/>
      <c r="J965" s="107"/>
    </row>
    <row r="966" spans="5:10" x14ac:dyDescent="0.25">
      <c r="E966" s="100"/>
      <c r="F966" s="100"/>
      <c r="G966" s="101"/>
      <c r="H966" s="5"/>
      <c r="I966" s="5"/>
      <c r="J966" s="107"/>
    </row>
    <row r="967" spans="5:10" x14ac:dyDescent="0.25">
      <c r="E967" s="100"/>
      <c r="F967" s="100"/>
      <c r="G967" s="101"/>
      <c r="H967" s="5"/>
      <c r="I967" s="5"/>
      <c r="J967" s="107"/>
    </row>
    <row r="968" spans="5:10" x14ac:dyDescent="0.25">
      <c r="E968" s="100"/>
      <c r="F968" s="100"/>
      <c r="G968" s="101"/>
      <c r="H968" s="5"/>
      <c r="I968" s="5"/>
      <c r="J968" s="107"/>
    </row>
    <row r="969" spans="5:10" x14ac:dyDescent="0.25">
      <c r="E969" s="100"/>
      <c r="F969" s="100"/>
      <c r="G969" s="101"/>
      <c r="H969" s="5"/>
      <c r="I969" s="5"/>
      <c r="J969" s="107"/>
    </row>
    <row r="970" spans="5:10" x14ac:dyDescent="0.25">
      <c r="E970" s="100"/>
      <c r="F970" s="100"/>
      <c r="G970" s="101"/>
      <c r="H970" s="5"/>
      <c r="I970" s="5"/>
      <c r="J970" s="107"/>
    </row>
    <row r="971" spans="5:10" x14ac:dyDescent="0.25">
      <c r="E971" s="100"/>
      <c r="F971" s="100"/>
      <c r="G971" s="101"/>
      <c r="H971" s="5"/>
      <c r="I971" s="5"/>
      <c r="J971" s="107"/>
    </row>
    <row r="972" spans="5:10" x14ac:dyDescent="0.25">
      <c r="E972" s="100"/>
      <c r="F972" s="100"/>
      <c r="G972" s="101"/>
      <c r="H972" s="5"/>
      <c r="I972" s="5"/>
      <c r="J972" s="107"/>
    </row>
    <row r="973" spans="5:10" x14ac:dyDescent="0.25">
      <c r="E973" s="100"/>
      <c r="F973" s="100"/>
      <c r="G973" s="101"/>
      <c r="H973" s="5"/>
      <c r="I973" s="5"/>
      <c r="J973" s="107"/>
    </row>
    <row r="974" spans="5:10" x14ac:dyDescent="0.25">
      <c r="E974" s="100"/>
      <c r="F974" s="100"/>
      <c r="G974" s="101"/>
      <c r="H974" s="5"/>
      <c r="I974" s="5"/>
      <c r="J974" s="107"/>
    </row>
    <row r="975" spans="5:10" x14ac:dyDescent="0.25">
      <c r="E975" s="100"/>
      <c r="F975" s="100"/>
      <c r="G975" s="101"/>
      <c r="H975" s="5"/>
      <c r="I975" s="5"/>
      <c r="J975" s="107"/>
    </row>
    <row r="976" spans="5:10" x14ac:dyDescent="0.25">
      <c r="E976" s="100"/>
      <c r="F976" s="100"/>
      <c r="G976" s="101"/>
      <c r="H976" s="5"/>
      <c r="I976" s="5"/>
      <c r="J976" s="107"/>
    </row>
    <row r="977" spans="5:10" x14ac:dyDescent="0.25">
      <c r="E977" s="100"/>
      <c r="F977" s="100"/>
      <c r="G977" s="101"/>
      <c r="H977" s="5"/>
      <c r="I977" s="5"/>
      <c r="J977" s="107"/>
    </row>
    <row r="978" spans="5:10" x14ac:dyDescent="0.25">
      <c r="E978" s="100"/>
      <c r="F978" s="100"/>
      <c r="G978" s="101"/>
      <c r="H978" s="5"/>
      <c r="I978" s="5"/>
      <c r="J978" s="107"/>
    </row>
    <row r="979" spans="5:10" x14ac:dyDescent="0.25">
      <c r="E979" s="100"/>
      <c r="F979" s="100"/>
      <c r="G979" s="101"/>
      <c r="H979" s="5"/>
      <c r="I979" s="5"/>
      <c r="J979" s="107"/>
    </row>
    <row r="980" spans="5:10" x14ac:dyDescent="0.25">
      <c r="E980" s="100"/>
      <c r="F980" s="100"/>
      <c r="G980" s="101"/>
      <c r="H980" s="5"/>
      <c r="I980" s="5"/>
      <c r="J980" s="107"/>
    </row>
    <row r="981" spans="5:10" x14ac:dyDescent="0.25">
      <c r="E981" s="100"/>
      <c r="F981" s="100"/>
      <c r="G981" s="101"/>
      <c r="H981" s="5"/>
      <c r="I981" s="5"/>
      <c r="J981" s="107"/>
    </row>
    <row r="982" spans="5:10" x14ac:dyDescent="0.25">
      <c r="E982" s="100"/>
      <c r="F982" s="100"/>
      <c r="G982" s="101"/>
      <c r="H982" s="5"/>
      <c r="I982" s="5"/>
      <c r="J982" s="107"/>
    </row>
    <row r="983" spans="5:10" x14ac:dyDescent="0.25">
      <c r="E983" s="100"/>
      <c r="F983" s="100"/>
      <c r="G983" s="101"/>
      <c r="H983" s="5"/>
      <c r="I983" s="5"/>
      <c r="J983" s="107"/>
    </row>
    <row r="984" spans="5:10" x14ac:dyDescent="0.25">
      <c r="E984" s="100"/>
      <c r="F984" s="100"/>
      <c r="G984" s="101"/>
      <c r="H984" s="5"/>
      <c r="I984" s="5"/>
      <c r="J984" s="107"/>
    </row>
    <row r="985" spans="5:10" x14ac:dyDescent="0.25">
      <c r="E985" s="100"/>
      <c r="F985" s="100"/>
      <c r="G985" s="101"/>
      <c r="H985" s="5"/>
      <c r="I985" s="5"/>
      <c r="J985" s="107"/>
    </row>
    <row r="986" spans="5:10" x14ac:dyDescent="0.25">
      <c r="E986" s="100"/>
      <c r="F986" s="100"/>
      <c r="G986" s="101"/>
      <c r="H986" s="5"/>
      <c r="I986" s="5"/>
      <c r="J986" s="107"/>
    </row>
    <row r="987" spans="5:10" x14ac:dyDescent="0.25">
      <c r="E987" s="100"/>
      <c r="F987" s="100"/>
      <c r="G987" s="101"/>
      <c r="H987" s="5"/>
      <c r="I987" s="5"/>
      <c r="J987" s="107"/>
    </row>
    <row r="988" spans="5:10" x14ac:dyDescent="0.25">
      <c r="E988" s="100"/>
      <c r="F988" s="100"/>
      <c r="G988" s="101"/>
      <c r="H988" s="5"/>
      <c r="I988" s="5"/>
      <c r="J988" s="107"/>
    </row>
    <row r="989" spans="5:10" x14ac:dyDescent="0.25">
      <c r="E989" s="100"/>
      <c r="F989" s="100"/>
      <c r="G989" s="101"/>
      <c r="H989" s="5"/>
      <c r="I989" s="5"/>
      <c r="J989" s="107"/>
    </row>
    <row r="990" spans="5:10" x14ac:dyDescent="0.25">
      <c r="E990" s="100"/>
      <c r="F990" s="100"/>
      <c r="G990" s="101"/>
      <c r="H990" s="5"/>
      <c r="I990" s="5"/>
      <c r="J990" s="107"/>
    </row>
    <row r="991" spans="5:10" x14ac:dyDescent="0.25">
      <c r="E991" s="100"/>
      <c r="F991" s="100"/>
      <c r="G991" s="101"/>
      <c r="H991" s="5"/>
      <c r="I991" s="5"/>
      <c r="J991" s="107"/>
    </row>
    <row r="992" spans="5:10" x14ac:dyDescent="0.25">
      <c r="E992" s="100"/>
      <c r="F992" s="100"/>
      <c r="G992" s="101"/>
      <c r="H992" s="5"/>
      <c r="I992" s="5"/>
      <c r="J992" s="107"/>
    </row>
    <row r="993" spans="5:10" x14ac:dyDescent="0.25">
      <c r="E993" s="100"/>
      <c r="F993" s="100"/>
      <c r="G993" s="101"/>
      <c r="H993" s="5"/>
      <c r="I993" s="5"/>
      <c r="J993" s="107"/>
    </row>
    <row r="994" spans="5:10" x14ac:dyDescent="0.25">
      <c r="E994" s="100"/>
      <c r="F994" s="100"/>
      <c r="G994" s="101"/>
      <c r="H994" s="5"/>
      <c r="I994" s="5"/>
      <c r="J994" s="107"/>
    </row>
    <row r="995" spans="5:10" x14ac:dyDescent="0.25">
      <c r="E995" s="100"/>
      <c r="F995" s="100"/>
      <c r="G995" s="101"/>
      <c r="H995" s="5"/>
      <c r="I995" s="5"/>
      <c r="J995" s="107"/>
    </row>
    <row r="996" spans="5:10" x14ac:dyDescent="0.25">
      <c r="E996" s="100"/>
      <c r="F996" s="100"/>
      <c r="G996" s="101"/>
      <c r="H996" s="5"/>
      <c r="I996" s="5"/>
      <c r="J996" s="107"/>
    </row>
    <row r="997" spans="5:10" x14ac:dyDescent="0.25">
      <c r="E997" s="100"/>
      <c r="F997" s="100"/>
      <c r="G997" s="101"/>
      <c r="H997" s="5"/>
      <c r="I997" s="5"/>
      <c r="J997" s="107"/>
    </row>
    <row r="998" spans="5:10" x14ac:dyDescent="0.25">
      <c r="E998" s="100"/>
      <c r="F998" s="100"/>
      <c r="G998" s="101"/>
      <c r="H998" s="5"/>
      <c r="I998" s="5"/>
      <c r="J998" s="107"/>
    </row>
    <row r="999" spans="5:10" x14ac:dyDescent="0.25">
      <c r="E999" s="100"/>
      <c r="F999" s="100"/>
      <c r="G999" s="101"/>
      <c r="H999" s="5"/>
      <c r="I999" s="5"/>
      <c r="J999" s="107"/>
    </row>
    <row r="1000" spans="5:10" x14ac:dyDescent="0.25">
      <c r="E1000" s="100"/>
      <c r="F1000" s="100"/>
      <c r="G1000" s="101"/>
      <c r="H1000" s="5"/>
      <c r="I1000" s="5"/>
      <c r="J1000" s="107"/>
    </row>
  </sheetData>
  <conditionalFormatting sqref="G6:G1000">
    <cfRule type="dataBar" priority="6">
      <dataBar>
        <cfvo type="num" val="0"/>
        <cfvo type="num" val="1"/>
        <color rgb="FF638EC6"/>
      </dataBar>
      <extLst>
        <ext xmlns:x14="http://schemas.microsoft.com/office/spreadsheetml/2009/9/main" uri="{B025F937-C7B1-47D3-B67F-A62EFF666E3E}">
          <x14:id>{CC588FA2-B6EA-4722-911E-B5DA67F01D18}</x14:id>
        </ext>
      </extLst>
    </cfRule>
  </conditionalFormatting>
  <conditionalFormatting sqref="H6:H1000">
    <cfRule type="expression" dxfId="10" priority="1" stopIfTrue="1">
      <formula>$H6="Overdue"</formula>
    </cfRule>
    <cfRule type="expression" dxfId="9" priority="2" stopIfTrue="1">
      <formula>$H6="Complete"</formula>
    </cfRule>
    <cfRule type="expression" dxfId="8" priority="3" stopIfTrue="1">
      <formula>$H6="In progress"</formula>
    </cfRule>
    <cfRule type="expression" dxfId="7" priority="4" stopIfTrue="1">
      <formula>$H6="Not started"</formula>
    </cfRule>
    <cfRule type="expression" dxfId="6" priority="5" stopIfTrue="1">
      <formula>$H6="Archived"</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C588FA2-B6EA-4722-911E-B5DA67F01D18}">
            <x14:dataBar minLength="0" maxLength="100" negativeBarColorSameAsPositive="1" axisPosition="none">
              <x14:cfvo type="num">
                <xm:f>0</xm:f>
              </x14:cfvo>
              <x14:cfvo type="num">
                <xm:f>1</xm:f>
              </x14:cfvo>
            </x14:dataBar>
          </x14:cfRule>
          <xm:sqref>G6:G1000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E1AD6-8148-4020-9FCE-F76B4C0D8F5B}">
  <dimension ref="A1:D200"/>
  <sheetViews>
    <sheetView showGridLines="0" workbookViewId="0"/>
  </sheetViews>
  <sheetFormatPr defaultRowHeight="14.25" x14ac:dyDescent="0.2"/>
  <cols>
    <col min="1" max="1" width="2.7109375" style="109" customWidth="1"/>
    <col min="2" max="2" width="3.7109375" style="109" customWidth="1"/>
    <col min="3" max="3" width="110.7109375" style="109" customWidth="1"/>
    <col min="4" max="16384" width="9.140625" style="109"/>
  </cols>
  <sheetData>
    <row r="1" spans="1:4" ht="30" customHeight="1" x14ac:dyDescent="0.25">
      <c r="A1"/>
      <c r="B1" s="110" t="s">
        <v>70</v>
      </c>
      <c r="C1" s="111"/>
      <c r="D1"/>
    </row>
    <row r="2" spans="1:4" ht="15" customHeight="1" x14ac:dyDescent="0.25">
      <c r="A2"/>
      <c r="B2" s="112" t="s">
        <v>71</v>
      </c>
      <c r="C2" s="111"/>
      <c r="D2"/>
    </row>
    <row r="3" spans="1:4" ht="18" customHeight="1" x14ac:dyDescent="0.25">
      <c r="A3"/>
      <c r="B3" s="111"/>
      <c r="C3" s="118" t="str">
        <f>HYPERLINK("#'Projects'!A1","◄ All projects")</f>
        <v>◄ All projects</v>
      </c>
      <c r="D3"/>
    </row>
    <row r="4" spans="1:4" ht="21.95" customHeight="1" x14ac:dyDescent="0.25">
      <c r="A4"/>
      <c r="B4" s="113" t="s">
        <v>72</v>
      </c>
      <c r="C4" s="111"/>
      <c r="D4"/>
    </row>
    <row r="5" spans="1:4" ht="28.5" x14ac:dyDescent="0.25">
      <c r="A5"/>
      <c r="B5" s="114" t="s">
        <v>73</v>
      </c>
      <c r="C5" s="115" t="s">
        <v>74</v>
      </c>
      <c r="D5"/>
    </row>
    <row r="6" spans="1:4" ht="28.5" x14ac:dyDescent="0.25">
      <c r="A6"/>
      <c r="B6" s="114" t="s">
        <v>73</v>
      </c>
      <c r="C6" s="115" t="s">
        <v>75</v>
      </c>
      <c r="D6"/>
    </row>
    <row r="7" spans="1:4" ht="28.5" x14ac:dyDescent="0.25">
      <c r="A7"/>
      <c r="B7" s="114" t="s">
        <v>73</v>
      </c>
      <c r="C7" s="115" t="s">
        <v>76</v>
      </c>
      <c r="D7"/>
    </row>
    <row r="8" spans="1:4" ht="8.1" customHeight="1" x14ac:dyDescent="0.25">
      <c r="A8"/>
      <c r="B8" s="111"/>
      <c r="C8" s="111"/>
      <c r="D8"/>
    </row>
    <row r="9" spans="1:4" ht="21.95" customHeight="1" x14ac:dyDescent="0.25">
      <c r="A9"/>
      <c r="B9" s="113" t="s">
        <v>77</v>
      </c>
      <c r="C9" s="111"/>
      <c r="D9"/>
    </row>
    <row r="10" spans="1:4" ht="15" x14ac:dyDescent="0.25">
      <c r="A10"/>
      <c r="B10" s="111"/>
      <c r="C10" s="115" t="s">
        <v>86</v>
      </c>
      <c r="D10"/>
    </row>
    <row r="11" spans="1:4" ht="28.5" x14ac:dyDescent="0.25">
      <c r="A11"/>
      <c r="B11" s="111"/>
      <c r="C11" s="115" t="s">
        <v>87</v>
      </c>
      <c r="D11"/>
    </row>
    <row r="12" spans="1:4" ht="28.5" x14ac:dyDescent="0.25">
      <c r="A12"/>
      <c r="B12" s="111"/>
      <c r="C12" s="115" t="s">
        <v>78</v>
      </c>
      <c r="D12"/>
    </row>
    <row r="13" spans="1:4" ht="8.1" customHeight="1" x14ac:dyDescent="0.25">
      <c r="A13"/>
      <c r="B13" s="111"/>
      <c r="C13" s="111"/>
      <c r="D13"/>
    </row>
    <row r="14" spans="1:4" ht="21.95" customHeight="1" x14ac:dyDescent="0.25">
      <c r="A14"/>
      <c r="B14" s="113" t="s">
        <v>79</v>
      </c>
      <c r="C14" s="111"/>
      <c r="D14"/>
    </row>
    <row r="15" spans="1:4" ht="28.5" x14ac:dyDescent="0.25">
      <c r="A15"/>
      <c r="B15" s="114" t="s">
        <v>73</v>
      </c>
      <c r="C15" s="115" t="s">
        <v>88</v>
      </c>
      <c r="D15"/>
    </row>
    <row r="16" spans="1:4" ht="15" x14ac:dyDescent="0.25">
      <c r="A16"/>
      <c r="B16" s="114" t="s">
        <v>73</v>
      </c>
      <c r="C16" s="115" t="s">
        <v>89</v>
      </c>
      <c r="D16"/>
    </row>
    <row r="17" spans="1:4" ht="28.5" x14ac:dyDescent="0.25">
      <c r="A17"/>
      <c r="B17" s="114" t="s">
        <v>73</v>
      </c>
      <c r="C17" s="115" t="s">
        <v>90</v>
      </c>
      <c r="D17"/>
    </row>
    <row r="18" spans="1:4" ht="28.5" x14ac:dyDescent="0.25">
      <c r="A18"/>
      <c r="B18" s="114" t="s">
        <v>73</v>
      </c>
      <c r="C18" s="115" t="s">
        <v>80</v>
      </c>
      <c r="D18"/>
    </row>
    <row r="19" spans="1:4" ht="15" x14ac:dyDescent="0.25">
      <c r="A19"/>
      <c r="B19" s="114" t="s">
        <v>73</v>
      </c>
      <c r="C19" s="115" t="s">
        <v>81</v>
      </c>
      <c r="D19"/>
    </row>
    <row r="20" spans="1:4" ht="8.1" customHeight="1" x14ac:dyDescent="0.25">
      <c r="A20"/>
      <c r="B20" s="111"/>
      <c r="C20" s="111"/>
      <c r="D20"/>
    </row>
    <row r="21" spans="1:4" ht="21.95" customHeight="1" x14ac:dyDescent="0.25">
      <c r="A21"/>
      <c r="B21" s="113" t="s">
        <v>82</v>
      </c>
      <c r="C21" s="111"/>
      <c r="D21"/>
    </row>
    <row r="22" spans="1:4" ht="28.5" x14ac:dyDescent="0.25">
      <c r="A22"/>
      <c r="B22" s="114" t="s">
        <v>73</v>
      </c>
      <c r="C22" s="115" t="s">
        <v>91</v>
      </c>
      <c r="D22"/>
    </row>
    <row r="23" spans="1:4" ht="15" x14ac:dyDescent="0.25">
      <c r="A23"/>
      <c r="B23" s="114" t="s">
        <v>73</v>
      </c>
      <c r="C23" s="115" t="s">
        <v>92</v>
      </c>
      <c r="D23"/>
    </row>
    <row r="24" spans="1:4" ht="8.1" customHeight="1" x14ac:dyDescent="0.25">
      <c r="A24"/>
      <c r="B24" s="111"/>
      <c r="C24" s="111"/>
      <c r="D24"/>
    </row>
    <row r="25" spans="1:4" ht="21.95" customHeight="1" x14ac:dyDescent="0.25">
      <c r="A25"/>
      <c r="B25" s="113" t="s">
        <v>83</v>
      </c>
      <c r="C25" s="111"/>
      <c r="D25"/>
    </row>
    <row r="26" spans="1:4" ht="28.5" x14ac:dyDescent="0.25">
      <c r="A26"/>
      <c r="B26" s="114" t="s">
        <v>73</v>
      </c>
      <c r="C26" s="115" t="s">
        <v>93</v>
      </c>
      <c r="D26"/>
    </row>
    <row r="27" spans="1:4" ht="15" x14ac:dyDescent="0.25">
      <c r="A27"/>
      <c r="B27" s="114" t="s">
        <v>73</v>
      </c>
      <c r="C27" s="115" t="s">
        <v>94</v>
      </c>
      <c r="D27"/>
    </row>
    <row r="28" spans="1:4" ht="15" x14ac:dyDescent="0.25">
      <c r="A28"/>
      <c r="B28" s="114" t="s">
        <v>73</v>
      </c>
      <c r="C28" s="115" t="s">
        <v>84</v>
      </c>
      <c r="D28"/>
    </row>
    <row r="29" spans="1:4" ht="28.5" x14ac:dyDescent="0.25">
      <c r="A29"/>
      <c r="B29" s="114" t="s">
        <v>73</v>
      </c>
      <c r="C29" s="115" t="s">
        <v>95</v>
      </c>
      <c r="D29"/>
    </row>
    <row r="30" spans="1:4" ht="28.5" x14ac:dyDescent="0.25">
      <c r="A30"/>
      <c r="B30" s="114" t="s">
        <v>73</v>
      </c>
      <c r="C30" s="115" t="s">
        <v>85</v>
      </c>
      <c r="D30"/>
    </row>
    <row r="31" spans="1:4" ht="15" x14ac:dyDescent="0.25">
      <c r="A31"/>
      <c r="B31" s="114" t="s">
        <v>73</v>
      </c>
      <c r="C31" s="115" t="s">
        <v>96</v>
      </c>
      <c r="D31"/>
    </row>
    <row r="32" spans="1:4" ht="15" x14ac:dyDescent="0.25">
      <c r="A32"/>
      <c r="D32"/>
    </row>
    <row r="33" spans="1:4" ht="15" x14ac:dyDescent="0.25">
      <c r="A33"/>
      <c r="B33"/>
      <c r="C33"/>
      <c r="D33"/>
    </row>
    <row r="34" spans="1:4" ht="15" x14ac:dyDescent="0.25">
      <c r="A34"/>
      <c r="B34"/>
      <c r="C34"/>
      <c r="D34"/>
    </row>
    <row r="35" spans="1:4" ht="15" x14ac:dyDescent="0.25">
      <c r="A35"/>
      <c r="B35"/>
      <c r="C35"/>
      <c r="D35"/>
    </row>
    <row r="36" spans="1:4" ht="15" x14ac:dyDescent="0.25">
      <c r="A36"/>
      <c r="B36"/>
      <c r="C36"/>
      <c r="D36"/>
    </row>
    <row r="37" spans="1:4" ht="15" x14ac:dyDescent="0.25">
      <c r="A37"/>
      <c r="B37"/>
      <c r="C37"/>
      <c r="D37"/>
    </row>
    <row r="38" spans="1:4" ht="15" x14ac:dyDescent="0.25">
      <c r="A38"/>
      <c r="B38"/>
      <c r="C38"/>
      <c r="D38"/>
    </row>
    <row r="39" spans="1:4" ht="15" x14ac:dyDescent="0.25">
      <c r="A39"/>
      <c r="B39"/>
      <c r="C39"/>
      <c r="D39"/>
    </row>
    <row r="40" spans="1:4" ht="15" x14ac:dyDescent="0.25">
      <c r="A40"/>
      <c r="B40"/>
      <c r="C40"/>
      <c r="D40"/>
    </row>
    <row r="41" spans="1:4" ht="15" x14ac:dyDescent="0.25">
      <c r="A41"/>
      <c r="B41"/>
      <c r="C41"/>
      <c r="D41"/>
    </row>
    <row r="42" spans="1:4" ht="15" x14ac:dyDescent="0.25">
      <c r="A42"/>
      <c r="B42"/>
      <c r="C42"/>
      <c r="D42"/>
    </row>
    <row r="43" spans="1:4" ht="15" x14ac:dyDescent="0.25">
      <c r="A43"/>
      <c r="B43"/>
      <c r="C43"/>
      <c r="D43"/>
    </row>
    <row r="44" spans="1:4" ht="15" x14ac:dyDescent="0.25">
      <c r="A44"/>
      <c r="B44"/>
      <c r="C44"/>
      <c r="D44"/>
    </row>
    <row r="45" spans="1:4" ht="15" x14ac:dyDescent="0.25">
      <c r="A45"/>
      <c r="B45"/>
      <c r="C45"/>
      <c r="D45"/>
    </row>
    <row r="46" spans="1:4" ht="15" x14ac:dyDescent="0.25">
      <c r="A46"/>
      <c r="B46"/>
      <c r="C46"/>
      <c r="D46"/>
    </row>
    <row r="47" spans="1:4" ht="15" x14ac:dyDescent="0.25">
      <c r="A47"/>
      <c r="B47"/>
      <c r="C47"/>
      <c r="D47"/>
    </row>
    <row r="48" spans="1:4" ht="15" x14ac:dyDescent="0.25">
      <c r="A48"/>
      <c r="B48"/>
      <c r="C48"/>
      <c r="D48"/>
    </row>
    <row r="49" spans="1:4" ht="15" x14ac:dyDescent="0.25">
      <c r="A49"/>
      <c r="B49"/>
      <c r="C49"/>
      <c r="D49"/>
    </row>
    <row r="50" spans="1:4" ht="15" x14ac:dyDescent="0.25">
      <c r="A50"/>
      <c r="B50"/>
      <c r="C50"/>
      <c r="D50"/>
    </row>
    <row r="51" spans="1:4" ht="15" x14ac:dyDescent="0.25">
      <c r="A51"/>
      <c r="B51"/>
      <c r="C51"/>
      <c r="D51"/>
    </row>
    <row r="52" spans="1:4" ht="15" x14ac:dyDescent="0.25">
      <c r="A52"/>
      <c r="B52"/>
      <c r="C52"/>
      <c r="D52"/>
    </row>
    <row r="53" spans="1:4" ht="15" x14ac:dyDescent="0.25">
      <c r="A53"/>
      <c r="B53"/>
      <c r="C53"/>
      <c r="D53"/>
    </row>
    <row r="54" spans="1:4" ht="15" x14ac:dyDescent="0.25">
      <c r="A54"/>
      <c r="B54"/>
      <c r="C54"/>
      <c r="D54"/>
    </row>
    <row r="55" spans="1:4" ht="15" x14ac:dyDescent="0.25">
      <c r="A55"/>
      <c r="B55"/>
      <c r="C55"/>
      <c r="D55"/>
    </row>
    <row r="56" spans="1:4" ht="15" x14ac:dyDescent="0.25">
      <c r="A56"/>
      <c r="B56"/>
      <c r="C56"/>
      <c r="D56"/>
    </row>
    <row r="57" spans="1:4" ht="15" x14ac:dyDescent="0.25">
      <c r="A57"/>
      <c r="B57"/>
      <c r="C57"/>
      <c r="D57"/>
    </row>
    <row r="58" spans="1:4" ht="15" x14ac:dyDescent="0.25">
      <c r="A58"/>
      <c r="B58"/>
      <c r="C58"/>
      <c r="D58"/>
    </row>
    <row r="59" spans="1:4" ht="15" x14ac:dyDescent="0.25">
      <c r="A59"/>
      <c r="B59"/>
      <c r="C59"/>
      <c r="D59"/>
    </row>
    <row r="60" spans="1:4" ht="15" x14ac:dyDescent="0.25">
      <c r="A60"/>
      <c r="B60"/>
      <c r="C60"/>
      <c r="D60"/>
    </row>
    <row r="61" spans="1:4" ht="15" x14ac:dyDescent="0.25">
      <c r="A61"/>
      <c r="B61"/>
      <c r="C61"/>
      <c r="D61"/>
    </row>
    <row r="62" spans="1:4" ht="15" x14ac:dyDescent="0.25">
      <c r="A62"/>
      <c r="B62"/>
      <c r="C62"/>
      <c r="D62"/>
    </row>
    <row r="63" spans="1:4" ht="15" x14ac:dyDescent="0.25">
      <c r="A63"/>
      <c r="B63"/>
      <c r="C63"/>
      <c r="D63"/>
    </row>
    <row r="64" spans="1:4" ht="15" x14ac:dyDescent="0.25">
      <c r="A64"/>
      <c r="B64"/>
      <c r="C64"/>
      <c r="D64"/>
    </row>
    <row r="65" spans="1:4" ht="15" x14ac:dyDescent="0.25">
      <c r="A65"/>
      <c r="B65"/>
      <c r="C65"/>
      <c r="D65"/>
    </row>
    <row r="66" spans="1:4" ht="15" x14ac:dyDescent="0.25">
      <c r="A66"/>
      <c r="B66"/>
      <c r="C66"/>
      <c r="D66"/>
    </row>
    <row r="67" spans="1:4" ht="15" x14ac:dyDescent="0.25">
      <c r="A67"/>
      <c r="B67"/>
      <c r="C67"/>
      <c r="D67"/>
    </row>
    <row r="68" spans="1:4" ht="15" x14ac:dyDescent="0.25">
      <c r="A68"/>
      <c r="B68"/>
      <c r="C68"/>
      <c r="D68"/>
    </row>
    <row r="69" spans="1:4" ht="15" x14ac:dyDescent="0.25">
      <c r="A69"/>
      <c r="B69"/>
      <c r="C69"/>
      <c r="D69"/>
    </row>
    <row r="70" spans="1:4" ht="15" x14ac:dyDescent="0.25">
      <c r="A70"/>
      <c r="B70"/>
      <c r="C70"/>
      <c r="D70"/>
    </row>
    <row r="71" spans="1:4" ht="15" x14ac:dyDescent="0.25">
      <c r="A71"/>
      <c r="B71"/>
      <c r="C71"/>
      <c r="D71"/>
    </row>
    <row r="72" spans="1:4" ht="15" x14ac:dyDescent="0.25">
      <c r="A72"/>
      <c r="B72"/>
      <c r="C72"/>
      <c r="D72"/>
    </row>
    <row r="73" spans="1:4" ht="15" x14ac:dyDescent="0.25">
      <c r="A73"/>
      <c r="B73"/>
      <c r="C73"/>
      <c r="D73"/>
    </row>
    <row r="74" spans="1:4" ht="15" x14ac:dyDescent="0.25">
      <c r="A74"/>
      <c r="B74"/>
      <c r="C74"/>
      <c r="D74"/>
    </row>
    <row r="75" spans="1:4" ht="15" x14ac:dyDescent="0.25">
      <c r="A75"/>
      <c r="B75"/>
      <c r="C75"/>
      <c r="D75"/>
    </row>
    <row r="76" spans="1:4" ht="15" x14ac:dyDescent="0.25">
      <c r="A76"/>
      <c r="B76"/>
      <c r="C76"/>
      <c r="D76"/>
    </row>
    <row r="77" spans="1:4" ht="15" x14ac:dyDescent="0.25">
      <c r="A77"/>
      <c r="B77"/>
      <c r="C77"/>
      <c r="D77"/>
    </row>
    <row r="78" spans="1:4" ht="15" x14ac:dyDescent="0.25">
      <c r="A78"/>
      <c r="B78"/>
      <c r="C78"/>
      <c r="D78"/>
    </row>
    <row r="79" spans="1:4" ht="15" x14ac:dyDescent="0.25">
      <c r="A79"/>
      <c r="B79"/>
      <c r="C79"/>
      <c r="D79"/>
    </row>
    <row r="80" spans="1:4" ht="15" x14ac:dyDescent="0.25">
      <c r="A80"/>
      <c r="B80"/>
      <c r="C80"/>
      <c r="D80"/>
    </row>
    <row r="81" spans="1:4" ht="15" x14ac:dyDescent="0.25">
      <c r="A81"/>
      <c r="B81"/>
      <c r="C81"/>
      <c r="D81"/>
    </row>
    <row r="82" spans="1:4" ht="15" x14ac:dyDescent="0.25">
      <c r="A82"/>
      <c r="B82"/>
      <c r="C82"/>
      <c r="D82"/>
    </row>
    <row r="83" spans="1:4" ht="15" x14ac:dyDescent="0.25">
      <c r="A83"/>
      <c r="B83"/>
      <c r="C83"/>
      <c r="D83"/>
    </row>
    <row r="84" spans="1:4" ht="15" x14ac:dyDescent="0.25">
      <c r="A84"/>
      <c r="B84"/>
      <c r="C84"/>
      <c r="D84"/>
    </row>
    <row r="85" spans="1:4" ht="15" x14ac:dyDescent="0.25">
      <c r="A85"/>
      <c r="B85"/>
      <c r="C85"/>
      <c r="D85"/>
    </row>
    <row r="86" spans="1:4" ht="15" x14ac:dyDescent="0.25">
      <c r="A86"/>
      <c r="B86"/>
      <c r="C86"/>
      <c r="D86"/>
    </row>
    <row r="87" spans="1:4" ht="15" x14ac:dyDescent="0.25">
      <c r="A87"/>
      <c r="B87"/>
      <c r="C87"/>
      <c r="D87"/>
    </row>
    <row r="88" spans="1:4" ht="15" x14ac:dyDescent="0.25">
      <c r="A88"/>
      <c r="B88"/>
      <c r="C88"/>
      <c r="D88"/>
    </row>
    <row r="89" spans="1:4" ht="15" x14ac:dyDescent="0.25">
      <c r="A89"/>
      <c r="B89"/>
      <c r="C89"/>
      <c r="D89"/>
    </row>
    <row r="90" spans="1:4" ht="15" x14ac:dyDescent="0.25">
      <c r="A90"/>
      <c r="B90"/>
      <c r="C90"/>
      <c r="D90"/>
    </row>
    <row r="91" spans="1:4" ht="15" x14ac:dyDescent="0.25">
      <c r="A91"/>
      <c r="B91"/>
      <c r="C91"/>
      <c r="D91"/>
    </row>
    <row r="92" spans="1:4" ht="15" x14ac:dyDescent="0.25">
      <c r="A92"/>
      <c r="B92"/>
      <c r="C92"/>
      <c r="D92"/>
    </row>
    <row r="93" spans="1:4" ht="15" x14ac:dyDescent="0.25">
      <c r="A93"/>
      <c r="B93"/>
      <c r="C93"/>
      <c r="D93"/>
    </row>
    <row r="94" spans="1:4" ht="15" x14ac:dyDescent="0.25">
      <c r="A94"/>
      <c r="B94"/>
      <c r="C94"/>
      <c r="D94"/>
    </row>
    <row r="95" spans="1:4" ht="15" x14ac:dyDescent="0.25">
      <c r="A95"/>
      <c r="B95"/>
      <c r="C95"/>
      <c r="D95"/>
    </row>
    <row r="96" spans="1:4" ht="15" x14ac:dyDescent="0.25">
      <c r="A96"/>
      <c r="B96"/>
      <c r="C96"/>
      <c r="D96"/>
    </row>
    <row r="97" spans="1:4" ht="15" x14ac:dyDescent="0.25">
      <c r="A97"/>
      <c r="B97"/>
      <c r="C97"/>
      <c r="D97"/>
    </row>
    <row r="98" spans="1:4" ht="15" x14ac:dyDescent="0.25">
      <c r="A98"/>
      <c r="B98"/>
      <c r="C98"/>
      <c r="D98"/>
    </row>
    <row r="99" spans="1:4" ht="15" x14ac:dyDescent="0.25">
      <c r="A99"/>
      <c r="B99"/>
      <c r="C99"/>
      <c r="D99"/>
    </row>
    <row r="100" spans="1:4" ht="15" x14ac:dyDescent="0.25">
      <c r="A100"/>
      <c r="B100"/>
      <c r="C100"/>
      <c r="D100"/>
    </row>
    <row r="101" spans="1:4" ht="15" x14ac:dyDescent="0.25">
      <c r="A101"/>
      <c r="B101"/>
      <c r="C101"/>
      <c r="D101"/>
    </row>
    <row r="102" spans="1:4" ht="15" x14ac:dyDescent="0.25">
      <c r="A102"/>
      <c r="B102"/>
      <c r="C102"/>
      <c r="D102"/>
    </row>
    <row r="103" spans="1:4" ht="15" x14ac:dyDescent="0.25">
      <c r="A103"/>
      <c r="B103"/>
      <c r="C103"/>
      <c r="D103"/>
    </row>
    <row r="104" spans="1:4" ht="15" x14ac:dyDescent="0.25">
      <c r="A104"/>
      <c r="B104"/>
      <c r="C104"/>
      <c r="D104"/>
    </row>
    <row r="105" spans="1:4" ht="15" x14ac:dyDescent="0.25">
      <c r="A105"/>
      <c r="B105"/>
      <c r="C105"/>
      <c r="D105"/>
    </row>
    <row r="106" spans="1:4" ht="15" x14ac:dyDescent="0.25">
      <c r="A106"/>
      <c r="B106"/>
      <c r="C106"/>
      <c r="D106"/>
    </row>
    <row r="107" spans="1:4" ht="15" x14ac:dyDescent="0.25">
      <c r="A107"/>
      <c r="B107"/>
      <c r="C107"/>
      <c r="D107"/>
    </row>
    <row r="108" spans="1:4" ht="15" x14ac:dyDescent="0.25">
      <c r="A108"/>
      <c r="B108"/>
      <c r="C108"/>
      <c r="D108"/>
    </row>
    <row r="109" spans="1:4" ht="15" x14ac:dyDescent="0.25">
      <c r="A109"/>
      <c r="B109"/>
      <c r="C109"/>
      <c r="D109"/>
    </row>
    <row r="110" spans="1:4" ht="15" x14ac:dyDescent="0.25">
      <c r="A110"/>
      <c r="B110"/>
      <c r="C110"/>
      <c r="D110"/>
    </row>
    <row r="111" spans="1:4" ht="15" x14ac:dyDescent="0.25">
      <c r="A111"/>
      <c r="B111"/>
      <c r="C111"/>
      <c r="D111"/>
    </row>
    <row r="112" spans="1:4" ht="15" x14ac:dyDescent="0.25">
      <c r="A112"/>
      <c r="B112"/>
      <c r="C112"/>
      <c r="D112"/>
    </row>
    <row r="113" spans="1:4" ht="15" x14ac:dyDescent="0.25">
      <c r="A113"/>
      <c r="B113"/>
      <c r="C113"/>
      <c r="D113"/>
    </row>
    <row r="114" spans="1:4" ht="15" x14ac:dyDescent="0.25">
      <c r="A114"/>
      <c r="B114"/>
      <c r="C114"/>
      <c r="D114"/>
    </row>
    <row r="115" spans="1:4" ht="15" x14ac:dyDescent="0.25">
      <c r="A115"/>
      <c r="B115"/>
      <c r="C115"/>
      <c r="D115"/>
    </row>
    <row r="116" spans="1:4" ht="15" x14ac:dyDescent="0.25">
      <c r="A116"/>
      <c r="B116"/>
      <c r="C116"/>
      <c r="D116"/>
    </row>
    <row r="117" spans="1:4" ht="15" x14ac:dyDescent="0.25">
      <c r="A117"/>
      <c r="B117"/>
      <c r="C117"/>
      <c r="D117"/>
    </row>
    <row r="118" spans="1:4" ht="15" x14ac:dyDescent="0.25">
      <c r="A118"/>
      <c r="B118"/>
      <c r="C118"/>
      <c r="D118"/>
    </row>
    <row r="119" spans="1:4" ht="15" x14ac:dyDescent="0.25">
      <c r="A119"/>
      <c r="B119"/>
      <c r="C119"/>
      <c r="D119"/>
    </row>
    <row r="120" spans="1:4" ht="15" x14ac:dyDescent="0.25">
      <c r="A120"/>
      <c r="B120"/>
      <c r="C120"/>
      <c r="D120"/>
    </row>
    <row r="121" spans="1:4" ht="15" x14ac:dyDescent="0.25">
      <c r="A121"/>
      <c r="B121"/>
      <c r="C121"/>
      <c r="D121"/>
    </row>
    <row r="122" spans="1:4" ht="15" x14ac:dyDescent="0.25">
      <c r="A122"/>
      <c r="B122"/>
      <c r="C122"/>
      <c r="D122"/>
    </row>
    <row r="123" spans="1:4" ht="15" x14ac:dyDescent="0.25">
      <c r="A123"/>
      <c r="B123"/>
      <c r="C123"/>
      <c r="D123"/>
    </row>
    <row r="124" spans="1:4" ht="15" x14ac:dyDescent="0.25">
      <c r="A124"/>
      <c r="B124"/>
      <c r="C124"/>
      <c r="D124"/>
    </row>
    <row r="125" spans="1:4" ht="15" x14ac:dyDescent="0.25">
      <c r="A125"/>
      <c r="B125"/>
      <c r="C125"/>
      <c r="D125"/>
    </row>
    <row r="126" spans="1:4" ht="15" x14ac:dyDescent="0.25">
      <c r="A126"/>
      <c r="B126"/>
      <c r="C126"/>
      <c r="D126"/>
    </row>
    <row r="127" spans="1:4" ht="15" x14ac:dyDescent="0.25">
      <c r="A127"/>
      <c r="B127"/>
      <c r="C127"/>
      <c r="D127"/>
    </row>
    <row r="128" spans="1:4" ht="15" x14ac:dyDescent="0.25">
      <c r="A128"/>
      <c r="B128"/>
      <c r="C128"/>
      <c r="D128"/>
    </row>
    <row r="129" spans="1:4" ht="15" x14ac:dyDescent="0.25">
      <c r="A129"/>
      <c r="B129"/>
      <c r="C129"/>
      <c r="D129"/>
    </row>
    <row r="130" spans="1:4" ht="15" x14ac:dyDescent="0.25">
      <c r="A130"/>
      <c r="B130"/>
      <c r="C130"/>
      <c r="D130"/>
    </row>
    <row r="131" spans="1:4" ht="15" x14ac:dyDescent="0.25">
      <c r="A131"/>
      <c r="B131"/>
      <c r="C131"/>
      <c r="D131"/>
    </row>
    <row r="132" spans="1:4" ht="15" x14ac:dyDescent="0.25">
      <c r="A132"/>
      <c r="B132"/>
      <c r="C132"/>
      <c r="D132"/>
    </row>
    <row r="133" spans="1:4" ht="15" x14ac:dyDescent="0.25">
      <c r="A133"/>
      <c r="B133"/>
      <c r="C133"/>
      <c r="D133"/>
    </row>
    <row r="134" spans="1:4" ht="15" x14ac:dyDescent="0.25">
      <c r="A134"/>
      <c r="B134"/>
      <c r="C134"/>
      <c r="D134"/>
    </row>
    <row r="135" spans="1:4" ht="15" x14ac:dyDescent="0.25">
      <c r="A135"/>
      <c r="B135"/>
      <c r="C135"/>
      <c r="D135"/>
    </row>
    <row r="136" spans="1:4" ht="15" x14ac:dyDescent="0.25">
      <c r="A136"/>
      <c r="B136"/>
      <c r="C136"/>
      <c r="D136"/>
    </row>
    <row r="137" spans="1:4" ht="15" x14ac:dyDescent="0.25">
      <c r="A137"/>
      <c r="B137"/>
      <c r="C137"/>
      <c r="D137"/>
    </row>
    <row r="138" spans="1:4" ht="15" x14ac:dyDescent="0.25">
      <c r="A138"/>
      <c r="B138"/>
      <c r="C138"/>
      <c r="D138"/>
    </row>
    <row r="139" spans="1:4" ht="15" x14ac:dyDescent="0.25">
      <c r="A139"/>
      <c r="B139"/>
      <c r="C139"/>
      <c r="D139"/>
    </row>
    <row r="140" spans="1:4" ht="15" x14ac:dyDescent="0.25">
      <c r="A140"/>
      <c r="B140"/>
      <c r="C140"/>
      <c r="D140"/>
    </row>
    <row r="141" spans="1:4" ht="15" x14ac:dyDescent="0.25">
      <c r="A141"/>
      <c r="B141"/>
      <c r="C141"/>
      <c r="D141"/>
    </row>
    <row r="142" spans="1:4" ht="15" x14ac:dyDescent="0.25">
      <c r="A142"/>
      <c r="B142"/>
      <c r="C142"/>
      <c r="D142"/>
    </row>
    <row r="143" spans="1:4" ht="15" x14ac:dyDescent="0.25">
      <c r="A143"/>
      <c r="B143"/>
      <c r="C143"/>
      <c r="D143"/>
    </row>
    <row r="144" spans="1:4" ht="15" x14ac:dyDescent="0.25">
      <c r="A144"/>
      <c r="B144"/>
      <c r="C144"/>
      <c r="D144"/>
    </row>
    <row r="145" spans="1:4" ht="15" x14ac:dyDescent="0.25">
      <c r="A145"/>
      <c r="B145"/>
      <c r="C145"/>
      <c r="D145"/>
    </row>
    <row r="146" spans="1:4" ht="15" x14ac:dyDescent="0.25">
      <c r="A146"/>
      <c r="B146"/>
      <c r="C146"/>
      <c r="D146"/>
    </row>
    <row r="147" spans="1:4" ht="15" x14ac:dyDescent="0.25">
      <c r="A147"/>
      <c r="B147"/>
      <c r="C147"/>
      <c r="D147"/>
    </row>
    <row r="148" spans="1:4" ht="15" x14ac:dyDescent="0.25">
      <c r="A148"/>
      <c r="B148"/>
      <c r="C148"/>
      <c r="D148"/>
    </row>
    <row r="149" spans="1:4" ht="15" x14ac:dyDescent="0.25">
      <c r="A149"/>
      <c r="B149"/>
      <c r="C149"/>
      <c r="D149"/>
    </row>
    <row r="150" spans="1:4" ht="15" x14ac:dyDescent="0.25">
      <c r="A150"/>
      <c r="B150"/>
      <c r="C150"/>
      <c r="D150"/>
    </row>
    <row r="151" spans="1:4" ht="15" x14ac:dyDescent="0.25">
      <c r="A151"/>
      <c r="B151"/>
      <c r="C151"/>
      <c r="D151"/>
    </row>
    <row r="152" spans="1:4" ht="15" x14ac:dyDescent="0.25">
      <c r="A152"/>
      <c r="B152"/>
      <c r="C152"/>
      <c r="D152"/>
    </row>
    <row r="153" spans="1:4" ht="15" x14ac:dyDescent="0.25">
      <c r="A153"/>
      <c r="B153"/>
      <c r="C153"/>
      <c r="D153"/>
    </row>
    <row r="154" spans="1:4" ht="15" x14ac:dyDescent="0.25">
      <c r="A154"/>
      <c r="B154"/>
      <c r="C154"/>
      <c r="D154"/>
    </row>
    <row r="155" spans="1:4" ht="15" x14ac:dyDescent="0.25">
      <c r="A155"/>
      <c r="B155"/>
      <c r="C155"/>
      <c r="D155"/>
    </row>
    <row r="156" spans="1:4" ht="15" x14ac:dyDescent="0.25">
      <c r="A156"/>
      <c r="B156"/>
      <c r="C156"/>
      <c r="D156"/>
    </row>
    <row r="157" spans="1:4" ht="15" x14ac:dyDescent="0.25">
      <c r="A157"/>
      <c r="B157"/>
      <c r="C157"/>
      <c r="D157"/>
    </row>
    <row r="158" spans="1:4" ht="15" x14ac:dyDescent="0.25">
      <c r="A158"/>
      <c r="B158"/>
      <c r="C158"/>
      <c r="D158"/>
    </row>
    <row r="159" spans="1:4" ht="15" x14ac:dyDescent="0.25">
      <c r="A159"/>
      <c r="B159"/>
      <c r="C159"/>
      <c r="D159"/>
    </row>
    <row r="160" spans="1:4" ht="15" x14ac:dyDescent="0.25">
      <c r="A160"/>
      <c r="B160"/>
      <c r="C160"/>
      <c r="D160"/>
    </row>
    <row r="161" spans="1:4" ht="15" x14ac:dyDescent="0.25">
      <c r="A161"/>
      <c r="B161"/>
      <c r="C161"/>
      <c r="D161"/>
    </row>
    <row r="162" spans="1:4" ht="15" x14ac:dyDescent="0.25">
      <c r="A162"/>
      <c r="B162"/>
      <c r="C162"/>
      <c r="D162"/>
    </row>
    <row r="163" spans="1:4" ht="15" x14ac:dyDescent="0.25">
      <c r="A163"/>
      <c r="B163"/>
      <c r="C163"/>
      <c r="D163"/>
    </row>
    <row r="164" spans="1:4" ht="15" x14ac:dyDescent="0.25">
      <c r="A164"/>
      <c r="B164"/>
      <c r="C164"/>
      <c r="D164"/>
    </row>
    <row r="165" spans="1:4" ht="15" x14ac:dyDescent="0.25">
      <c r="A165"/>
      <c r="B165"/>
      <c r="C165"/>
      <c r="D165"/>
    </row>
    <row r="166" spans="1:4" ht="15" x14ac:dyDescent="0.25">
      <c r="A166"/>
      <c r="B166"/>
      <c r="C166"/>
      <c r="D166"/>
    </row>
    <row r="167" spans="1:4" ht="15" x14ac:dyDescent="0.25">
      <c r="A167"/>
      <c r="B167"/>
      <c r="C167"/>
      <c r="D167"/>
    </row>
    <row r="168" spans="1:4" ht="15" x14ac:dyDescent="0.25">
      <c r="A168"/>
      <c r="B168"/>
      <c r="C168"/>
      <c r="D168"/>
    </row>
    <row r="169" spans="1:4" ht="15" x14ac:dyDescent="0.25">
      <c r="A169"/>
      <c r="B169"/>
      <c r="C169"/>
      <c r="D169"/>
    </row>
    <row r="170" spans="1:4" ht="15" x14ac:dyDescent="0.25">
      <c r="A170"/>
      <c r="B170"/>
      <c r="C170"/>
      <c r="D170"/>
    </row>
    <row r="171" spans="1:4" ht="15" x14ac:dyDescent="0.25">
      <c r="A171"/>
      <c r="B171"/>
      <c r="C171"/>
      <c r="D171"/>
    </row>
    <row r="172" spans="1:4" ht="15" x14ac:dyDescent="0.25">
      <c r="A172"/>
      <c r="B172"/>
      <c r="C172"/>
      <c r="D172"/>
    </row>
    <row r="173" spans="1:4" ht="15" x14ac:dyDescent="0.25">
      <c r="A173"/>
      <c r="B173"/>
      <c r="C173"/>
      <c r="D173"/>
    </row>
    <row r="174" spans="1:4" ht="15" x14ac:dyDescent="0.25">
      <c r="A174"/>
      <c r="B174"/>
      <c r="C174"/>
      <c r="D174"/>
    </row>
    <row r="175" spans="1:4" ht="15" x14ac:dyDescent="0.25">
      <c r="A175"/>
      <c r="B175"/>
      <c r="C175"/>
      <c r="D175"/>
    </row>
    <row r="176" spans="1:4" ht="15" x14ac:dyDescent="0.25">
      <c r="A176"/>
      <c r="B176"/>
      <c r="C176"/>
      <c r="D176"/>
    </row>
    <row r="177" spans="1:4" ht="15" x14ac:dyDescent="0.25">
      <c r="A177"/>
      <c r="B177"/>
      <c r="C177"/>
      <c r="D177"/>
    </row>
    <row r="178" spans="1:4" ht="15" x14ac:dyDescent="0.25">
      <c r="A178"/>
      <c r="B178"/>
      <c r="C178"/>
      <c r="D178"/>
    </row>
    <row r="179" spans="1:4" ht="15" x14ac:dyDescent="0.25">
      <c r="A179"/>
      <c r="B179"/>
      <c r="C179"/>
      <c r="D179"/>
    </row>
    <row r="180" spans="1:4" ht="15" x14ac:dyDescent="0.25">
      <c r="A180"/>
      <c r="B180"/>
      <c r="C180"/>
      <c r="D180"/>
    </row>
    <row r="181" spans="1:4" ht="15" x14ac:dyDescent="0.25">
      <c r="A181"/>
      <c r="B181"/>
      <c r="C181"/>
      <c r="D181"/>
    </row>
    <row r="182" spans="1:4" ht="15" x14ac:dyDescent="0.25">
      <c r="A182"/>
      <c r="B182"/>
      <c r="C182"/>
      <c r="D182"/>
    </row>
    <row r="183" spans="1:4" ht="15" x14ac:dyDescent="0.25">
      <c r="A183"/>
      <c r="B183"/>
      <c r="C183"/>
      <c r="D183"/>
    </row>
    <row r="184" spans="1:4" ht="15" x14ac:dyDescent="0.25">
      <c r="A184"/>
      <c r="B184"/>
      <c r="C184"/>
      <c r="D184"/>
    </row>
    <row r="185" spans="1:4" ht="15" x14ac:dyDescent="0.25">
      <c r="A185"/>
      <c r="B185"/>
      <c r="C185"/>
      <c r="D185"/>
    </row>
    <row r="186" spans="1:4" ht="15" x14ac:dyDescent="0.25">
      <c r="A186"/>
      <c r="B186"/>
      <c r="C186"/>
      <c r="D186"/>
    </row>
    <row r="187" spans="1:4" ht="15" x14ac:dyDescent="0.25">
      <c r="A187"/>
      <c r="B187"/>
      <c r="C187"/>
      <c r="D187"/>
    </row>
    <row r="188" spans="1:4" ht="15" x14ac:dyDescent="0.25">
      <c r="A188"/>
      <c r="B188"/>
      <c r="C188"/>
      <c r="D188"/>
    </row>
    <row r="189" spans="1:4" ht="15" x14ac:dyDescent="0.25">
      <c r="A189"/>
      <c r="B189"/>
      <c r="C189"/>
      <c r="D189"/>
    </row>
    <row r="190" spans="1:4" ht="15" x14ac:dyDescent="0.25">
      <c r="A190"/>
      <c r="B190"/>
      <c r="C190"/>
      <c r="D190"/>
    </row>
    <row r="191" spans="1:4" ht="15" x14ac:dyDescent="0.25">
      <c r="A191"/>
      <c r="B191"/>
      <c r="C191"/>
      <c r="D191"/>
    </row>
    <row r="192" spans="1:4" ht="15" x14ac:dyDescent="0.25">
      <c r="A192"/>
      <c r="B192"/>
      <c r="C192"/>
      <c r="D192"/>
    </row>
    <row r="193" spans="1:4" ht="15" x14ac:dyDescent="0.25">
      <c r="A193"/>
      <c r="B193"/>
      <c r="C193"/>
      <c r="D193"/>
    </row>
    <row r="194" spans="1:4" ht="15" x14ac:dyDescent="0.25">
      <c r="A194"/>
      <c r="B194"/>
      <c r="C194"/>
      <c r="D194"/>
    </row>
    <row r="195" spans="1:4" ht="15" x14ac:dyDescent="0.25">
      <c r="A195"/>
      <c r="B195"/>
      <c r="C195"/>
      <c r="D195"/>
    </row>
    <row r="196" spans="1:4" ht="15" x14ac:dyDescent="0.25">
      <c r="A196"/>
      <c r="B196"/>
      <c r="C196"/>
      <c r="D196"/>
    </row>
    <row r="197" spans="1:4" ht="15" x14ac:dyDescent="0.25">
      <c r="A197"/>
      <c r="B197"/>
      <c r="C197"/>
      <c r="D197"/>
    </row>
    <row r="198" spans="1:4" ht="15" x14ac:dyDescent="0.25">
      <c r="A198"/>
      <c r="B198"/>
      <c r="C198"/>
      <c r="D198"/>
    </row>
    <row r="199" spans="1:4" ht="15" x14ac:dyDescent="0.25">
      <c r="A199"/>
      <c r="B199"/>
      <c r="C199"/>
      <c r="D199"/>
    </row>
    <row r="200" spans="1:4" ht="15" x14ac:dyDescent="0.25">
      <c r="A200"/>
      <c r="B200"/>
      <c r="C200"/>
      <c r="D20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D46"/>
  <sheetViews>
    <sheetView showGridLines="0" showRuler="0" zoomScale="80" zoomScaleNormal="80" zoomScalePageLayoutView="70" workbookViewId="0">
      <pane ySplit="6" topLeftCell="A7" activePane="bottomLeft" state="frozen"/>
      <selection pane="bottomLeft" activeCell="AS3" sqref="AS3"/>
    </sheetView>
  </sheetViews>
  <sheetFormatPr defaultRowHeight="15" x14ac:dyDescent="0.25"/>
  <cols>
    <col min="1" max="1" width="2.7109375" customWidth="1"/>
    <col min="2" max="2" width="32.28515625" customWidth="1"/>
    <col min="3" max="3" width="9.140625" customWidth="1"/>
    <col min="4" max="4" width="10.7109375" customWidth="1"/>
    <col min="5" max="5" width="29.85546875" style="5" customWidth="1"/>
    <col min="6" max="6" width="30.42578125" customWidth="1"/>
    <col min="7" max="7" width="2.7109375" customWidth="1"/>
    <col min="8" max="8" width="6.140625" hidden="1" customWidth="1"/>
    <col min="9" max="64" width="2.5703125" customWidth="1"/>
    <col min="65" max="134" width="3" customWidth="1"/>
  </cols>
  <sheetData>
    <row r="1" spans="1:134" ht="28.5" x14ac:dyDescent="0.45">
      <c r="B1" s="15" t="s">
        <v>0</v>
      </c>
      <c r="C1" s="1"/>
      <c r="D1" s="2"/>
      <c r="E1" s="4"/>
      <c r="F1" s="77"/>
      <c r="H1" s="2"/>
      <c r="I1" s="124" t="str">
        <f>HYPERLINK("#'Projects'!A1","◄ All projects")</f>
        <v>◄ All projects</v>
      </c>
      <c r="J1" s="124"/>
      <c r="K1" s="124"/>
      <c r="L1" s="124"/>
      <c r="M1" s="124"/>
      <c r="N1" s="124"/>
      <c r="O1" s="116"/>
      <c r="P1" s="116"/>
      <c r="Q1" s="116"/>
      <c r="R1" s="116"/>
      <c r="S1" s="116"/>
      <c r="T1" s="116"/>
      <c r="U1" s="116"/>
      <c r="V1" s="116"/>
      <c r="W1" s="116"/>
      <c r="X1" s="116"/>
      <c r="Y1" s="116"/>
      <c r="Z1" s="116"/>
      <c r="AA1" s="116"/>
    </row>
    <row r="2" spans="1:134" ht="19.5" customHeight="1" x14ac:dyDescent="0.3">
      <c r="B2" s="8" t="s">
        <v>1</v>
      </c>
      <c r="D2" s="6" t="s">
        <v>2</v>
      </c>
      <c r="E2" s="122">
        <v>45313</v>
      </c>
      <c r="F2" s="123"/>
    </row>
    <row r="3" spans="1:134" ht="19.5" customHeight="1" x14ac:dyDescent="0.3">
      <c r="B3" s="8" t="s">
        <v>3</v>
      </c>
      <c r="D3" s="6" t="s">
        <v>4</v>
      </c>
      <c r="E3" s="122">
        <f ca="1">TODAY()</f>
        <v>46317</v>
      </c>
      <c r="F3" s="123"/>
      <c r="AS3" s="95" t="s">
        <v>5</v>
      </c>
      <c r="BT3" t="s">
        <v>6</v>
      </c>
      <c r="CO3" t="s">
        <v>7</v>
      </c>
    </row>
    <row r="4" spans="1:134" ht="19.5" customHeight="1" x14ac:dyDescent="0.25">
      <c r="D4" s="6" t="s">
        <v>8</v>
      </c>
      <c r="E4" s="7">
        <v>1</v>
      </c>
      <c r="I4" s="119">
        <f>I5</f>
        <v>45313</v>
      </c>
      <c r="J4" s="120"/>
      <c r="K4" s="120"/>
      <c r="L4" s="120"/>
      <c r="M4" s="120"/>
      <c r="N4" s="120"/>
      <c r="O4" s="121"/>
      <c r="P4" s="119">
        <f>P5</f>
        <v>45320</v>
      </c>
      <c r="Q4" s="120"/>
      <c r="R4" s="120"/>
      <c r="S4" s="120"/>
      <c r="T4" s="120"/>
      <c r="U4" s="120"/>
      <c r="V4" s="121"/>
      <c r="W4" s="119">
        <f>W5</f>
        <v>45327</v>
      </c>
      <c r="X4" s="120"/>
      <c r="Y4" s="120"/>
      <c r="Z4" s="120"/>
      <c r="AA4" s="120"/>
      <c r="AB4" s="120"/>
      <c r="AC4" s="121"/>
      <c r="AD4" s="119">
        <f>AD5</f>
        <v>45334</v>
      </c>
      <c r="AE4" s="120"/>
      <c r="AF4" s="120"/>
      <c r="AG4" s="120"/>
      <c r="AH4" s="120"/>
      <c r="AI4" s="120"/>
      <c r="AJ4" s="121"/>
      <c r="AK4" s="119">
        <f>AK5</f>
        <v>45341</v>
      </c>
      <c r="AL4" s="120"/>
      <c r="AM4" s="120"/>
      <c r="AN4" s="120"/>
      <c r="AO4" s="120"/>
      <c r="AP4" s="120"/>
      <c r="AQ4" s="121"/>
      <c r="AR4" s="119">
        <f>AR5</f>
        <v>45348</v>
      </c>
      <c r="AS4" s="120"/>
      <c r="AT4" s="120"/>
      <c r="AU4" s="120"/>
      <c r="AV4" s="120"/>
      <c r="AW4" s="120"/>
      <c r="AX4" s="121"/>
      <c r="AY4" s="119">
        <f>AY5</f>
        <v>45355</v>
      </c>
      <c r="AZ4" s="120"/>
      <c r="BA4" s="120"/>
      <c r="BB4" s="120"/>
      <c r="BC4" s="120"/>
      <c r="BD4" s="120"/>
      <c r="BE4" s="121"/>
      <c r="BF4" s="119">
        <f>BF5</f>
        <v>45362</v>
      </c>
      <c r="BG4" s="120"/>
      <c r="BH4" s="120"/>
      <c r="BI4" s="120"/>
      <c r="BJ4" s="120"/>
      <c r="BK4" s="120"/>
      <c r="BL4" s="121"/>
      <c r="BM4" s="119">
        <f>BM5</f>
        <v>45369</v>
      </c>
      <c r="BN4" s="120"/>
      <c r="BO4" s="120"/>
      <c r="BP4" s="120"/>
      <c r="BQ4" s="120"/>
      <c r="BR4" s="120"/>
      <c r="BS4" s="121"/>
      <c r="BT4" s="119">
        <f>BT5</f>
        <v>45376</v>
      </c>
      <c r="BU4" s="120"/>
      <c r="BV4" s="120"/>
      <c r="BW4" s="120"/>
      <c r="BX4" s="120"/>
      <c r="BY4" s="120"/>
      <c r="BZ4" s="121"/>
      <c r="CA4" s="119">
        <f>CA5</f>
        <v>45383</v>
      </c>
      <c r="CB4" s="120"/>
      <c r="CC4" s="120"/>
      <c r="CD4" s="120"/>
      <c r="CE4" s="120"/>
      <c r="CF4" s="120"/>
      <c r="CG4" s="121"/>
      <c r="CH4" s="119">
        <f>CH5</f>
        <v>45390</v>
      </c>
      <c r="CI4" s="120"/>
      <c r="CJ4" s="120"/>
      <c r="CK4" s="120"/>
      <c r="CL4" s="120"/>
      <c r="CM4" s="120"/>
      <c r="CN4" s="121"/>
      <c r="CO4" s="119">
        <f>CO5</f>
        <v>45397</v>
      </c>
      <c r="CP4" s="120"/>
      <c r="CQ4" s="120"/>
      <c r="CR4" s="120"/>
      <c r="CS4" s="120"/>
      <c r="CT4" s="120"/>
      <c r="CU4" s="121"/>
      <c r="CV4" s="119">
        <f>CV5</f>
        <v>45404</v>
      </c>
      <c r="CW4" s="120"/>
      <c r="CX4" s="120"/>
      <c r="CY4" s="120"/>
      <c r="CZ4" s="120"/>
      <c r="DA4" s="120"/>
      <c r="DB4" s="121"/>
      <c r="DC4" s="119">
        <f>DC5</f>
        <v>45411</v>
      </c>
      <c r="DD4" s="120"/>
      <c r="DE4" s="120"/>
      <c r="DF4" s="120"/>
      <c r="DG4" s="120"/>
      <c r="DH4" s="120"/>
      <c r="DI4" s="121"/>
      <c r="DJ4" s="119">
        <f>DJ5</f>
        <v>45418</v>
      </c>
      <c r="DK4" s="120"/>
      <c r="DL4" s="120"/>
      <c r="DM4" s="120"/>
      <c r="DN4" s="120"/>
      <c r="DO4" s="120"/>
      <c r="DP4" s="121"/>
      <c r="DQ4" s="119">
        <f>DQ5</f>
        <v>45425</v>
      </c>
      <c r="DR4" s="120"/>
      <c r="DS4" s="120"/>
      <c r="DT4" s="120"/>
      <c r="DU4" s="120"/>
      <c r="DV4" s="120"/>
      <c r="DW4" s="121"/>
      <c r="DX4" s="119">
        <f>DX5</f>
        <v>45432</v>
      </c>
      <c r="DY4" s="120"/>
      <c r="DZ4" s="120"/>
      <c r="EA4" s="120"/>
      <c r="EB4" s="120"/>
      <c r="EC4" s="120"/>
      <c r="ED4" s="121"/>
    </row>
    <row r="5" spans="1:134" x14ac:dyDescent="0.25">
      <c r="A5" s="6"/>
      <c r="G5" s="6"/>
      <c r="I5" s="12">
        <f>E2-WEEKDAY(E2,1)+2+7*(E4-1)</f>
        <v>45313</v>
      </c>
      <c r="J5" s="11">
        <f>I5+1</f>
        <v>45314</v>
      </c>
      <c r="K5" s="11">
        <f t="shared" ref="K5:AX5" si="0">J5+1</f>
        <v>45315</v>
      </c>
      <c r="L5" s="11">
        <f t="shared" si="0"/>
        <v>45316</v>
      </c>
      <c r="M5" s="11">
        <f t="shared" si="0"/>
        <v>45317</v>
      </c>
      <c r="N5" s="11">
        <f t="shared" si="0"/>
        <v>45318</v>
      </c>
      <c r="O5" s="13">
        <f t="shared" si="0"/>
        <v>45319</v>
      </c>
      <c r="P5" s="12">
        <f>O5+1</f>
        <v>45320</v>
      </c>
      <c r="Q5" s="11">
        <f>P5+1</f>
        <v>45321</v>
      </c>
      <c r="R5" s="11">
        <f t="shared" si="0"/>
        <v>45322</v>
      </c>
      <c r="S5" s="11">
        <f t="shared" si="0"/>
        <v>45323</v>
      </c>
      <c r="T5" s="11">
        <f t="shared" si="0"/>
        <v>45324</v>
      </c>
      <c r="U5" s="11">
        <f t="shared" si="0"/>
        <v>45325</v>
      </c>
      <c r="V5" s="13">
        <f t="shared" si="0"/>
        <v>45326</v>
      </c>
      <c r="W5" s="12">
        <f>V5+1</f>
        <v>45327</v>
      </c>
      <c r="X5" s="11">
        <f>W5+1</f>
        <v>45328</v>
      </c>
      <c r="Y5" s="11">
        <f t="shared" si="0"/>
        <v>45329</v>
      </c>
      <c r="Z5" s="11">
        <f t="shared" si="0"/>
        <v>45330</v>
      </c>
      <c r="AA5" s="11">
        <f t="shared" si="0"/>
        <v>45331</v>
      </c>
      <c r="AB5" s="11">
        <f t="shared" si="0"/>
        <v>45332</v>
      </c>
      <c r="AC5" s="13">
        <f t="shared" si="0"/>
        <v>45333</v>
      </c>
      <c r="AD5" s="12">
        <f>AC5+1</f>
        <v>45334</v>
      </c>
      <c r="AE5" s="11">
        <f>AD5+1</f>
        <v>45335</v>
      </c>
      <c r="AF5" s="11">
        <f t="shared" si="0"/>
        <v>45336</v>
      </c>
      <c r="AG5" s="11">
        <f t="shared" si="0"/>
        <v>45337</v>
      </c>
      <c r="AH5" s="11">
        <f t="shared" si="0"/>
        <v>45338</v>
      </c>
      <c r="AI5" s="11">
        <f t="shared" si="0"/>
        <v>45339</v>
      </c>
      <c r="AJ5" s="13">
        <f t="shared" si="0"/>
        <v>45340</v>
      </c>
      <c r="AK5" s="12">
        <f>AJ5+1</f>
        <v>45341</v>
      </c>
      <c r="AL5" s="11">
        <f>AK5+1</f>
        <v>45342</v>
      </c>
      <c r="AM5" s="11">
        <f t="shared" si="0"/>
        <v>45343</v>
      </c>
      <c r="AN5" s="11">
        <f t="shared" si="0"/>
        <v>45344</v>
      </c>
      <c r="AO5" s="11">
        <f t="shared" si="0"/>
        <v>45345</v>
      </c>
      <c r="AP5" s="11">
        <f t="shared" si="0"/>
        <v>45346</v>
      </c>
      <c r="AQ5" s="13">
        <f t="shared" si="0"/>
        <v>45347</v>
      </c>
      <c r="AR5" s="12">
        <f>AQ5+1</f>
        <v>45348</v>
      </c>
      <c r="AS5" s="11">
        <f>AR5+1</f>
        <v>45349</v>
      </c>
      <c r="AT5" s="11">
        <f t="shared" si="0"/>
        <v>45350</v>
      </c>
      <c r="AU5" s="93">
        <f t="shared" si="0"/>
        <v>45351</v>
      </c>
      <c r="AV5" s="11">
        <f t="shared" si="0"/>
        <v>45352</v>
      </c>
      <c r="AW5" s="11">
        <f t="shared" si="0"/>
        <v>45353</v>
      </c>
      <c r="AX5" s="13">
        <f t="shared" si="0"/>
        <v>45354</v>
      </c>
      <c r="AY5" s="12">
        <f>AX5+1</f>
        <v>45355</v>
      </c>
      <c r="AZ5" s="11">
        <f>AY5+1</f>
        <v>45356</v>
      </c>
      <c r="BA5" s="11">
        <f t="shared" ref="BA5:BE5" si="1">AZ5+1</f>
        <v>45357</v>
      </c>
      <c r="BB5" s="11">
        <f t="shared" si="1"/>
        <v>45358</v>
      </c>
      <c r="BC5" s="11">
        <f t="shared" si="1"/>
        <v>45359</v>
      </c>
      <c r="BD5" s="11">
        <f t="shared" si="1"/>
        <v>45360</v>
      </c>
      <c r="BE5" s="13">
        <f t="shared" si="1"/>
        <v>45361</v>
      </c>
      <c r="BF5" s="12">
        <f>BE5+1</f>
        <v>45362</v>
      </c>
      <c r="BG5" s="11">
        <f>BF5+1</f>
        <v>45363</v>
      </c>
      <c r="BH5" s="11">
        <f t="shared" ref="BH5:BL5" si="2">BG5+1</f>
        <v>45364</v>
      </c>
      <c r="BI5" s="11">
        <f t="shared" si="2"/>
        <v>45365</v>
      </c>
      <c r="BJ5" s="11">
        <f t="shared" si="2"/>
        <v>45366</v>
      </c>
      <c r="BK5" s="11">
        <f t="shared" si="2"/>
        <v>45367</v>
      </c>
      <c r="BL5" s="13">
        <f t="shared" si="2"/>
        <v>45368</v>
      </c>
      <c r="BM5" s="12">
        <f>BL5+1</f>
        <v>45369</v>
      </c>
      <c r="BN5" s="11">
        <f>BM5+1</f>
        <v>45370</v>
      </c>
      <c r="BO5" s="11">
        <f t="shared" ref="BO5" si="3">BN5+1</f>
        <v>45371</v>
      </c>
      <c r="BP5" s="11">
        <f t="shared" ref="BP5" si="4">BO5+1</f>
        <v>45372</v>
      </c>
      <c r="BQ5" s="11">
        <f t="shared" ref="BQ5" si="5">BP5+1</f>
        <v>45373</v>
      </c>
      <c r="BR5" s="11">
        <f t="shared" ref="BR5" si="6">BQ5+1</f>
        <v>45374</v>
      </c>
      <c r="BS5" s="13">
        <f t="shared" ref="BS5" si="7">BR5+1</f>
        <v>45375</v>
      </c>
      <c r="BT5" s="12">
        <f t="shared" ref="BT5:CY5" si="8">BS5+1</f>
        <v>45376</v>
      </c>
      <c r="BU5" s="11">
        <f t="shared" si="8"/>
        <v>45377</v>
      </c>
      <c r="BV5" s="11">
        <f t="shared" si="8"/>
        <v>45378</v>
      </c>
      <c r="BW5" s="11">
        <f t="shared" si="8"/>
        <v>45379</v>
      </c>
      <c r="BX5" s="93">
        <f t="shared" si="8"/>
        <v>45380</v>
      </c>
      <c r="BY5" s="11">
        <f t="shared" si="8"/>
        <v>45381</v>
      </c>
      <c r="BZ5" s="13">
        <f t="shared" si="8"/>
        <v>45382</v>
      </c>
      <c r="CA5" s="12">
        <f t="shared" si="8"/>
        <v>45383</v>
      </c>
      <c r="CB5" s="11">
        <f t="shared" si="8"/>
        <v>45384</v>
      </c>
      <c r="CC5" s="11">
        <f t="shared" si="8"/>
        <v>45385</v>
      </c>
      <c r="CD5" s="11">
        <f t="shared" si="8"/>
        <v>45386</v>
      </c>
      <c r="CE5" s="11">
        <f t="shared" si="8"/>
        <v>45387</v>
      </c>
      <c r="CF5" s="11">
        <f t="shared" si="8"/>
        <v>45388</v>
      </c>
      <c r="CG5" s="13">
        <f t="shared" si="8"/>
        <v>45389</v>
      </c>
      <c r="CH5" s="12">
        <f t="shared" si="8"/>
        <v>45390</v>
      </c>
      <c r="CI5" s="11">
        <f t="shared" si="8"/>
        <v>45391</v>
      </c>
      <c r="CJ5" s="11">
        <f t="shared" si="8"/>
        <v>45392</v>
      </c>
      <c r="CK5" s="11">
        <f t="shared" si="8"/>
        <v>45393</v>
      </c>
      <c r="CL5" s="11">
        <f t="shared" si="8"/>
        <v>45394</v>
      </c>
      <c r="CM5" s="11">
        <f t="shared" si="8"/>
        <v>45395</v>
      </c>
      <c r="CN5" s="13">
        <f t="shared" si="8"/>
        <v>45396</v>
      </c>
      <c r="CO5" s="94">
        <f t="shared" si="8"/>
        <v>45397</v>
      </c>
      <c r="CP5" s="11">
        <f t="shared" si="8"/>
        <v>45398</v>
      </c>
      <c r="CQ5" s="11">
        <f t="shared" si="8"/>
        <v>45399</v>
      </c>
      <c r="CR5" s="11">
        <f t="shared" si="8"/>
        <v>45400</v>
      </c>
      <c r="CS5" s="11">
        <f t="shared" si="8"/>
        <v>45401</v>
      </c>
      <c r="CT5" s="11">
        <f t="shared" si="8"/>
        <v>45402</v>
      </c>
      <c r="CU5" s="13">
        <f t="shared" si="8"/>
        <v>45403</v>
      </c>
      <c r="CV5" s="12">
        <f t="shared" si="8"/>
        <v>45404</v>
      </c>
      <c r="CW5" s="11">
        <f t="shared" si="8"/>
        <v>45405</v>
      </c>
      <c r="CX5" s="11">
        <f t="shared" si="8"/>
        <v>45406</v>
      </c>
      <c r="CY5" s="11">
        <f t="shared" si="8"/>
        <v>45407</v>
      </c>
      <c r="CZ5" s="11">
        <f t="shared" ref="CZ5:ED5" si="9">CY5+1</f>
        <v>45408</v>
      </c>
      <c r="DA5" s="11">
        <f t="shared" si="9"/>
        <v>45409</v>
      </c>
      <c r="DB5" s="13">
        <f t="shared" si="9"/>
        <v>45410</v>
      </c>
      <c r="DC5" s="12">
        <f t="shared" si="9"/>
        <v>45411</v>
      </c>
      <c r="DD5" s="11">
        <f t="shared" si="9"/>
        <v>45412</v>
      </c>
      <c r="DE5" s="11">
        <f t="shared" si="9"/>
        <v>45413</v>
      </c>
      <c r="DF5" s="11">
        <f t="shared" si="9"/>
        <v>45414</v>
      </c>
      <c r="DG5" s="11">
        <f t="shared" si="9"/>
        <v>45415</v>
      </c>
      <c r="DH5" s="11">
        <f t="shared" si="9"/>
        <v>45416</v>
      </c>
      <c r="DI5" s="13">
        <f t="shared" si="9"/>
        <v>45417</v>
      </c>
      <c r="DJ5" s="12">
        <f t="shared" si="9"/>
        <v>45418</v>
      </c>
      <c r="DK5" s="11">
        <f t="shared" si="9"/>
        <v>45419</v>
      </c>
      <c r="DL5" s="11">
        <f t="shared" si="9"/>
        <v>45420</v>
      </c>
      <c r="DM5" s="11">
        <f t="shared" si="9"/>
        <v>45421</v>
      </c>
      <c r="DN5" s="11">
        <f t="shared" si="9"/>
        <v>45422</v>
      </c>
      <c r="DO5" s="11">
        <f t="shared" si="9"/>
        <v>45423</v>
      </c>
      <c r="DP5" s="13">
        <f t="shared" si="9"/>
        <v>45424</v>
      </c>
      <c r="DQ5" s="12">
        <f t="shared" si="9"/>
        <v>45425</v>
      </c>
      <c r="DR5" s="11">
        <f t="shared" si="9"/>
        <v>45426</v>
      </c>
      <c r="DS5" s="11">
        <f t="shared" si="9"/>
        <v>45427</v>
      </c>
      <c r="DT5" s="11">
        <f t="shared" si="9"/>
        <v>45428</v>
      </c>
      <c r="DU5" s="11">
        <f t="shared" si="9"/>
        <v>45429</v>
      </c>
      <c r="DV5" s="11">
        <f t="shared" si="9"/>
        <v>45430</v>
      </c>
      <c r="DW5" s="13">
        <f t="shared" si="9"/>
        <v>45431</v>
      </c>
      <c r="DX5" s="12">
        <f t="shared" si="9"/>
        <v>45432</v>
      </c>
      <c r="DY5" s="11">
        <f t="shared" si="9"/>
        <v>45433</v>
      </c>
      <c r="DZ5" s="11">
        <f t="shared" si="9"/>
        <v>45434</v>
      </c>
      <c r="EA5" s="11">
        <f t="shared" si="9"/>
        <v>45435</v>
      </c>
      <c r="EB5" s="11">
        <f t="shared" si="9"/>
        <v>45436</v>
      </c>
      <c r="EC5" s="11">
        <f t="shared" si="9"/>
        <v>45437</v>
      </c>
      <c r="ED5" s="13">
        <f t="shared" si="9"/>
        <v>45438</v>
      </c>
    </row>
    <row r="6" spans="1:134" ht="29.25" customHeight="1" thickBot="1" x14ac:dyDescent="0.3">
      <c r="A6" s="18"/>
      <c r="B6" s="9" t="s">
        <v>9</v>
      </c>
      <c r="C6" s="10" t="s">
        <v>10</v>
      </c>
      <c r="D6" s="10" t="s">
        <v>11</v>
      </c>
      <c r="E6" s="10" t="s">
        <v>12</v>
      </c>
      <c r="F6" s="10" t="s">
        <v>13</v>
      </c>
      <c r="G6" s="10"/>
      <c r="H6" s="10" t="s">
        <v>14</v>
      </c>
      <c r="I6" s="14" t="str">
        <f t="shared" ref="I6" si="10">LEFT(TEXT(I5,"ddd"),1)</f>
        <v>M</v>
      </c>
      <c r="J6" s="14" t="str">
        <f t="shared" ref="J6:AR6" si="11">LEFT(TEXT(J5,"ddd"),1)</f>
        <v>T</v>
      </c>
      <c r="K6" s="14" t="str">
        <f t="shared" si="11"/>
        <v>W</v>
      </c>
      <c r="L6" s="14" t="str">
        <f t="shared" si="11"/>
        <v>T</v>
      </c>
      <c r="M6" s="14" t="str">
        <f t="shared" si="11"/>
        <v>F</v>
      </c>
      <c r="N6" s="14" t="str">
        <f t="shared" si="11"/>
        <v>S</v>
      </c>
      <c r="O6" s="14" t="str">
        <f t="shared" si="11"/>
        <v>S</v>
      </c>
      <c r="P6" s="14" t="str">
        <f t="shared" si="11"/>
        <v>M</v>
      </c>
      <c r="Q6" s="14" t="str">
        <f t="shared" si="11"/>
        <v>T</v>
      </c>
      <c r="R6" s="14" t="str">
        <f t="shared" si="11"/>
        <v>W</v>
      </c>
      <c r="S6" s="14" t="str">
        <f t="shared" si="11"/>
        <v>T</v>
      </c>
      <c r="T6" s="14" t="str">
        <f t="shared" si="11"/>
        <v>F</v>
      </c>
      <c r="U6" s="14" t="str">
        <f t="shared" si="11"/>
        <v>S</v>
      </c>
      <c r="V6" s="14" t="str">
        <f t="shared" si="11"/>
        <v>S</v>
      </c>
      <c r="W6" s="14" t="str">
        <f t="shared" si="11"/>
        <v>M</v>
      </c>
      <c r="X6" s="14" t="str">
        <f t="shared" si="11"/>
        <v>T</v>
      </c>
      <c r="Y6" s="14" t="str">
        <f t="shared" si="11"/>
        <v>W</v>
      </c>
      <c r="Z6" s="14" t="str">
        <f t="shared" si="11"/>
        <v>T</v>
      </c>
      <c r="AA6" s="14" t="str">
        <f t="shared" si="11"/>
        <v>F</v>
      </c>
      <c r="AB6" s="14" t="str">
        <f t="shared" si="11"/>
        <v>S</v>
      </c>
      <c r="AC6" s="14" t="str">
        <f t="shared" si="11"/>
        <v>S</v>
      </c>
      <c r="AD6" s="14" t="str">
        <f t="shared" si="11"/>
        <v>M</v>
      </c>
      <c r="AE6" s="14" t="str">
        <f t="shared" si="11"/>
        <v>T</v>
      </c>
      <c r="AF6" s="14" t="str">
        <f t="shared" si="11"/>
        <v>W</v>
      </c>
      <c r="AG6" s="14" t="str">
        <f t="shared" si="11"/>
        <v>T</v>
      </c>
      <c r="AH6" s="14" t="str">
        <f t="shared" si="11"/>
        <v>F</v>
      </c>
      <c r="AI6" s="14" t="str">
        <f t="shared" si="11"/>
        <v>S</v>
      </c>
      <c r="AJ6" s="14" t="str">
        <f t="shared" si="11"/>
        <v>S</v>
      </c>
      <c r="AK6" s="14" t="str">
        <f t="shared" si="11"/>
        <v>M</v>
      </c>
      <c r="AL6" s="14" t="str">
        <f t="shared" si="11"/>
        <v>T</v>
      </c>
      <c r="AM6" s="14" t="str">
        <f t="shared" si="11"/>
        <v>W</v>
      </c>
      <c r="AN6" s="14" t="str">
        <f t="shared" si="11"/>
        <v>T</v>
      </c>
      <c r="AO6" s="14" t="str">
        <f t="shared" si="11"/>
        <v>F</v>
      </c>
      <c r="AP6" s="14" t="str">
        <f t="shared" si="11"/>
        <v>S</v>
      </c>
      <c r="AQ6" s="14" t="str">
        <f t="shared" si="11"/>
        <v>S</v>
      </c>
      <c r="AR6" s="14" t="str">
        <f t="shared" si="11"/>
        <v>M</v>
      </c>
      <c r="AS6" s="14" t="str">
        <f t="shared" ref="AS6:BL6" si="12">LEFT(TEXT(AS5,"ddd"),1)</f>
        <v>T</v>
      </c>
      <c r="AT6" s="14" t="str">
        <f t="shared" si="12"/>
        <v>W</v>
      </c>
      <c r="AU6" s="14" t="str">
        <f t="shared" si="12"/>
        <v>T</v>
      </c>
      <c r="AV6" s="14" t="str">
        <f t="shared" si="12"/>
        <v>F</v>
      </c>
      <c r="AW6" s="14" t="str">
        <f t="shared" si="12"/>
        <v>S</v>
      </c>
      <c r="AX6" s="14" t="str">
        <f t="shared" si="12"/>
        <v>S</v>
      </c>
      <c r="AY6" s="14" t="str">
        <f t="shared" si="12"/>
        <v>M</v>
      </c>
      <c r="AZ6" s="14" t="str">
        <f t="shared" si="12"/>
        <v>T</v>
      </c>
      <c r="BA6" s="14" t="str">
        <f t="shared" si="12"/>
        <v>W</v>
      </c>
      <c r="BB6" s="14" t="str">
        <f t="shared" si="12"/>
        <v>T</v>
      </c>
      <c r="BC6" s="14" t="str">
        <f t="shared" si="12"/>
        <v>F</v>
      </c>
      <c r="BD6" s="14" t="str">
        <f t="shared" si="12"/>
        <v>S</v>
      </c>
      <c r="BE6" s="14" t="str">
        <f t="shared" si="12"/>
        <v>S</v>
      </c>
      <c r="BF6" s="14" t="str">
        <f t="shared" si="12"/>
        <v>M</v>
      </c>
      <c r="BG6" s="14" t="str">
        <f t="shared" si="12"/>
        <v>T</v>
      </c>
      <c r="BH6" s="14" t="str">
        <f t="shared" si="12"/>
        <v>W</v>
      </c>
      <c r="BI6" s="14" t="str">
        <f t="shared" si="12"/>
        <v>T</v>
      </c>
      <c r="BJ6" s="14" t="str">
        <f t="shared" si="12"/>
        <v>F</v>
      </c>
      <c r="BK6" s="14" t="str">
        <f t="shared" si="12"/>
        <v>S</v>
      </c>
      <c r="BL6" s="14" t="str">
        <f t="shared" si="12"/>
        <v>S</v>
      </c>
      <c r="BM6" s="14" t="str">
        <f t="shared" ref="BM6:BS6" si="13">LEFT(TEXT(BM5,"ddd"),1)</f>
        <v>M</v>
      </c>
      <c r="BN6" s="14" t="str">
        <f t="shared" si="13"/>
        <v>T</v>
      </c>
      <c r="BO6" s="14" t="str">
        <f t="shared" si="13"/>
        <v>W</v>
      </c>
      <c r="BP6" s="14" t="str">
        <f t="shared" si="13"/>
        <v>T</v>
      </c>
      <c r="BQ6" s="14" t="str">
        <f t="shared" si="13"/>
        <v>F</v>
      </c>
      <c r="BR6" s="14" t="str">
        <f t="shared" si="13"/>
        <v>S</v>
      </c>
      <c r="BS6" s="14" t="str">
        <f t="shared" si="13"/>
        <v>S</v>
      </c>
      <c r="BT6" s="14" t="str">
        <f t="shared" ref="BT6:CY6" si="14">LEFT(TEXT(BT5,"ddd"),1)</f>
        <v>M</v>
      </c>
      <c r="BU6" s="14" t="str">
        <f t="shared" si="14"/>
        <v>T</v>
      </c>
      <c r="BV6" s="14" t="str">
        <f t="shared" si="14"/>
        <v>W</v>
      </c>
      <c r="BW6" s="14" t="str">
        <f t="shared" si="14"/>
        <v>T</v>
      </c>
      <c r="BX6" s="14" t="str">
        <f t="shared" si="14"/>
        <v>F</v>
      </c>
      <c r="BY6" s="14" t="str">
        <f t="shared" si="14"/>
        <v>S</v>
      </c>
      <c r="BZ6" s="14" t="str">
        <f t="shared" si="14"/>
        <v>S</v>
      </c>
      <c r="CA6" s="14" t="str">
        <f t="shared" si="14"/>
        <v>M</v>
      </c>
      <c r="CB6" s="14" t="str">
        <f t="shared" si="14"/>
        <v>T</v>
      </c>
      <c r="CC6" s="14" t="str">
        <f t="shared" si="14"/>
        <v>W</v>
      </c>
      <c r="CD6" s="14" t="str">
        <f t="shared" si="14"/>
        <v>T</v>
      </c>
      <c r="CE6" s="14" t="str">
        <f t="shared" si="14"/>
        <v>F</v>
      </c>
      <c r="CF6" s="14" t="str">
        <f t="shared" si="14"/>
        <v>S</v>
      </c>
      <c r="CG6" s="14" t="str">
        <f t="shared" si="14"/>
        <v>S</v>
      </c>
      <c r="CH6" s="14" t="str">
        <f t="shared" si="14"/>
        <v>M</v>
      </c>
      <c r="CI6" s="14" t="str">
        <f t="shared" si="14"/>
        <v>T</v>
      </c>
      <c r="CJ6" s="14" t="str">
        <f t="shared" si="14"/>
        <v>W</v>
      </c>
      <c r="CK6" s="14" t="str">
        <f t="shared" si="14"/>
        <v>T</v>
      </c>
      <c r="CL6" s="14" t="str">
        <f t="shared" si="14"/>
        <v>F</v>
      </c>
      <c r="CM6" s="14" t="str">
        <f t="shared" si="14"/>
        <v>S</v>
      </c>
      <c r="CN6" s="14" t="str">
        <f t="shared" si="14"/>
        <v>S</v>
      </c>
      <c r="CO6" s="14" t="str">
        <f t="shared" si="14"/>
        <v>M</v>
      </c>
      <c r="CP6" s="14" t="str">
        <f t="shared" si="14"/>
        <v>T</v>
      </c>
      <c r="CQ6" s="14" t="str">
        <f t="shared" si="14"/>
        <v>W</v>
      </c>
      <c r="CR6" s="14" t="str">
        <f t="shared" si="14"/>
        <v>T</v>
      </c>
      <c r="CS6" s="14" t="str">
        <f t="shared" si="14"/>
        <v>F</v>
      </c>
      <c r="CT6" s="14" t="str">
        <f t="shared" si="14"/>
        <v>S</v>
      </c>
      <c r="CU6" s="14" t="str">
        <f t="shared" si="14"/>
        <v>S</v>
      </c>
      <c r="CV6" s="14" t="str">
        <f t="shared" si="14"/>
        <v>M</v>
      </c>
      <c r="CW6" s="14" t="str">
        <f t="shared" si="14"/>
        <v>T</v>
      </c>
      <c r="CX6" s="14" t="str">
        <f t="shared" si="14"/>
        <v>W</v>
      </c>
      <c r="CY6" s="14" t="str">
        <f t="shared" si="14"/>
        <v>T</v>
      </c>
      <c r="CZ6" s="14" t="str">
        <f t="shared" ref="CZ6:ED6" si="15">LEFT(TEXT(CZ5,"ddd"),1)</f>
        <v>F</v>
      </c>
      <c r="DA6" s="14" t="str">
        <f t="shared" si="15"/>
        <v>S</v>
      </c>
      <c r="DB6" s="14" t="str">
        <f t="shared" si="15"/>
        <v>S</v>
      </c>
      <c r="DC6" s="14" t="str">
        <f t="shared" si="15"/>
        <v>M</v>
      </c>
      <c r="DD6" s="14" t="str">
        <f t="shared" si="15"/>
        <v>T</v>
      </c>
      <c r="DE6" s="14" t="str">
        <f t="shared" si="15"/>
        <v>W</v>
      </c>
      <c r="DF6" s="14" t="str">
        <f t="shared" si="15"/>
        <v>T</v>
      </c>
      <c r="DG6" s="14" t="str">
        <f t="shared" si="15"/>
        <v>F</v>
      </c>
      <c r="DH6" s="14" t="str">
        <f t="shared" si="15"/>
        <v>S</v>
      </c>
      <c r="DI6" s="14" t="str">
        <f t="shared" si="15"/>
        <v>S</v>
      </c>
      <c r="DJ6" s="14" t="str">
        <f t="shared" si="15"/>
        <v>M</v>
      </c>
      <c r="DK6" s="14" t="str">
        <f t="shared" si="15"/>
        <v>T</v>
      </c>
      <c r="DL6" s="14" t="str">
        <f t="shared" si="15"/>
        <v>W</v>
      </c>
      <c r="DM6" s="14" t="str">
        <f t="shared" si="15"/>
        <v>T</v>
      </c>
      <c r="DN6" s="14" t="str">
        <f t="shared" si="15"/>
        <v>F</v>
      </c>
      <c r="DO6" s="14" t="str">
        <f t="shared" si="15"/>
        <v>S</v>
      </c>
      <c r="DP6" s="14" t="str">
        <f t="shared" si="15"/>
        <v>S</v>
      </c>
      <c r="DQ6" s="14" t="str">
        <f t="shared" si="15"/>
        <v>M</v>
      </c>
      <c r="DR6" s="14" t="str">
        <f t="shared" si="15"/>
        <v>T</v>
      </c>
      <c r="DS6" s="14" t="str">
        <f t="shared" si="15"/>
        <v>W</v>
      </c>
      <c r="DT6" s="14" t="str">
        <f t="shared" si="15"/>
        <v>T</v>
      </c>
      <c r="DU6" s="14" t="str">
        <f t="shared" si="15"/>
        <v>F</v>
      </c>
      <c r="DV6" s="14" t="str">
        <f t="shared" si="15"/>
        <v>S</v>
      </c>
      <c r="DW6" s="14" t="str">
        <f t="shared" si="15"/>
        <v>S</v>
      </c>
      <c r="DX6" s="14" t="str">
        <f t="shared" si="15"/>
        <v>M</v>
      </c>
      <c r="DY6" s="14" t="str">
        <f t="shared" si="15"/>
        <v>T</v>
      </c>
      <c r="DZ6" s="14" t="str">
        <f t="shared" si="15"/>
        <v>W</v>
      </c>
      <c r="EA6" s="14" t="str">
        <f t="shared" si="15"/>
        <v>T</v>
      </c>
      <c r="EB6" s="14" t="str">
        <f t="shared" si="15"/>
        <v>F</v>
      </c>
      <c r="EC6" s="14" t="str">
        <f t="shared" si="15"/>
        <v>S</v>
      </c>
      <c r="ED6" s="14" t="str">
        <f t="shared" si="15"/>
        <v>S</v>
      </c>
    </row>
    <row r="7" spans="1:134" s="3" customFormat="1" ht="21.75" thickBot="1" x14ac:dyDescent="0.3">
      <c r="A7" s="18"/>
      <c r="B7" s="19"/>
      <c r="C7" s="20"/>
      <c r="D7" s="21"/>
      <c r="E7" s="22"/>
      <c r="F7" s="23"/>
      <c r="G7" s="24"/>
      <c r="H7" s="24" t="str">
        <f t="shared" ref="H7:H42" si="16">IF(OR(ISBLANK(task_start),ISBLANK(task_end)),"",task_end-task_start+1)</f>
        <v/>
      </c>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c r="DO7" s="63"/>
      <c r="DP7" s="63"/>
      <c r="DQ7" s="63"/>
      <c r="DR7" s="63"/>
      <c r="DS7" s="63"/>
      <c r="DT7" s="63"/>
      <c r="DU7" s="63"/>
      <c r="DV7" s="63"/>
      <c r="DW7" s="63"/>
      <c r="DX7" s="63"/>
      <c r="DY7" s="63"/>
      <c r="DZ7" s="63"/>
      <c r="EA7" s="63"/>
      <c r="EB7" s="63"/>
      <c r="EC7" s="63"/>
      <c r="ED7" s="63"/>
    </row>
    <row r="8" spans="1:134" s="3" customFormat="1" ht="21.75" thickBot="1" x14ac:dyDescent="0.3">
      <c r="A8" s="18"/>
      <c r="B8" s="25" t="s">
        <v>15</v>
      </c>
      <c r="C8" s="26"/>
      <c r="D8" s="27"/>
      <c r="E8" s="28"/>
      <c r="F8" s="29"/>
      <c r="G8" s="24"/>
      <c r="H8" s="24" t="str">
        <f t="shared" si="16"/>
        <v/>
      </c>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63"/>
      <c r="DJ8" s="63"/>
      <c r="DK8" s="63"/>
      <c r="DL8" s="63"/>
      <c r="DM8" s="63"/>
      <c r="DN8" s="63"/>
      <c r="DO8" s="63"/>
      <c r="DP8" s="63"/>
      <c r="DQ8" s="63"/>
      <c r="DR8" s="63"/>
      <c r="DS8" s="63"/>
      <c r="DT8" s="63"/>
      <c r="DU8" s="63"/>
      <c r="DV8" s="63"/>
      <c r="DW8" s="63"/>
      <c r="DX8" s="63"/>
      <c r="DY8" s="63"/>
      <c r="DZ8" s="63"/>
      <c r="EA8" s="63"/>
      <c r="EB8" s="63"/>
      <c r="EC8" s="63"/>
      <c r="ED8" s="63"/>
    </row>
    <row r="9" spans="1:134" s="3" customFormat="1" ht="21.75" thickBot="1" x14ac:dyDescent="0.3">
      <c r="A9" s="18"/>
      <c r="B9" s="30" t="s">
        <v>16</v>
      </c>
      <c r="C9" s="31"/>
      <c r="D9" s="32">
        <v>0</v>
      </c>
      <c r="E9" s="82">
        <v>45313</v>
      </c>
      <c r="F9" s="83">
        <v>45324</v>
      </c>
      <c r="G9" s="24"/>
      <c r="H9" s="24">
        <f t="shared" si="16"/>
        <v>12</v>
      </c>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c r="CW9" s="63"/>
      <c r="CX9" s="63"/>
      <c r="CY9" s="63"/>
      <c r="CZ9" s="63"/>
      <c r="DA9" s="63"/>
      <c r="DB9" s="63"/>
      <c r="DC9" s="63"/>
      <c r="DD9" s="63"/>
      <c r="DE9" s="63"/>
      <c r="DF9" s="63"/>
      <c r="DG9" s="63"/>
      <c r="DH9" s="63"/>
      <c r="DI9" s="63"/>
      <c r="DJ9" s="63"/>
      <c r="DK9" s="63"/>
      <c r="DL9" s="63"/>
      <c r="DM9" s="63"/>
      <c r="DN9" s="63"/>
      <c r="DO9" s="63"/>
      <c r="DP9" s="63"/>
      <c r="DQ9" s="63"/>
      <c r="DR9" s="63"/>
      <c r="DS9" s="63"/>
      <c r="DT9" s="63"/>
      <c r="DU9" s="63"/>
      <c r="DV9" s="63"/>
      <c r="DW9" s="63"/>
      <c r="DX9" s="63"/>
      <c r="DY9" s="63"/>
      <c r="DZ9" s="63"/>
      <c r="EA9" s="63"/>
      <c r="EB9" s="63"/>
      <c r="EC9" s="63"/>
      <c r="ED9" s="63"/>
    </row>
    <row r="10" spans="1:134" s="3" customFormat="1" ht="21.75" thickBot="1" x14ac:dyDescent="0.3">
      <c r="A10" s="18"/>
      <c r="B10" s="30" t="s">
        <v>17</v>
      </c>
      <c r="C10" s="31"/>
      <c r="D10" s="32">
        <v>0</v>
      </c>
      <c r="E10" s="82">
        <v>45313</v>
      </c>
      <c r="F10" s="83">
        <v>45324</v>
      </c>
      <c r="G10" s="24"/>
      <c r="H10" s="24">
        <f t="shared" si="16"/>
        <v>12</v>
      </c>
      <c r="I10" s="63"/>
      <c r="J10" s="63"/>
      <c r="K10" s="63"/>
      <c r="L10" s="63"/>
      <c r="M10" s="63"/>
      <c r="N10" s="63"/>
      <c r="O10" s="63"/>
      <c r="P10" s="63"/>
      <c r="Q10" s="63"/>
      <c r="R10" s="63"/>
      <c r="S10" s="63"/>
      <c r="T10" s="63"/>
      <c r="U10" s="64"/>
      <c r="V10" s="64"/>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63"/>
      <c r="DH10" s="63"/>
      <c r="DI10" s="63"/>
      <c r="DJ10" s="63"/>
      <c r="DK10" s="63"/>
      <c r="DL10" s="63"/>
      <c r="DM10" s="63"/>
      <c r="DN10" s="63"/>
      <c r="DO10" s="63"/>
      <c r="DP10" s="63"/>
      <c r="DQ10" s="63"/>
      <c r="DR10" s="63"/>
      <c r="DS10" s="63"/>
      <c r="DT10" s="63"/>
      <c r="DU10" s="63"/>
      <c r="DV10" s="63"/>
      <c r="DW10" s="63"/>
      <c r="DX10" s="63"/>
      <c r="DY10" s="63"/>
      <c r="DZ10" s="63"/>
      <c r="EA10" s="63"/>
      <c r="EB10" s="63"/>
      <c r="EC10" s="63"/>
      <c r="ED10" s="63"/>
    </row>
    <row r="11" spans="1:134" s="3" customFormat="1" ht="21.75" thickBot="1" x14ac:dyDescent="0.3">
      <c r="A11" s="18"/>
      <c r="B11" s="30" t="s">
        <v>18</v>
      </c>
      <c r="C11" s="31"/>
      <c r="D11" s="32">
        <v>0</v>
      </c>
      <c r="E11" s="82">
        <v>45313</v>
      </c>
      <c r="F11" s="83">
        <v>45324</v>
      </c>
      <c r="G11" s="24"/>
      <c r="H11" s="24">
        <f t="shared" si="16"/>
        <v>12</v>
      </c>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c r="CW11" s="63"/>
      <c r="CX11" s="63"/>
      <c r="CY11" s="63"/>
      <c r="CZ11" s="63"/>
      <c r="DA11" s="63"/>
      <c r="DB11" s="63"/>
      <c r="DC11" s="63"/>
      <c r="DD11" s="63"/>
      <c r="DE11" s="63"/>
      <c r="DF11" s="63"/>
      <c r="DG11" s="63"/>
      <c r="DH11" s="63"/>
      <c r="DI11" s="63"/>
      <c r="DJ11" s="63"/>
      <c r="DK11" s="63"/>
      <c r="DL11" s="63"/>
      <c r="DM11" s="63"/>
      <c r="DN11" s="63"/>
      <c r="DO11" s="63"/>
      <c r="DP11" s="63"/>
      <c r="DQ11" s="63"/>
      <c r="DR11" s="63"/>
      <c r="DS11" s="63"/>
      <c r="DT11" s="63"/>
      <c r="DU11" s="63"/>
      <c r="DV11" s="63"/>
      <c r="DW11" s="63"/>
      <c r="DX11" s="63"/>
      <c r="DY11" s="63"/>
      <c r="DZ11" s="63"/>
      <c r="EA11" s="63"/>
      <c r="EB11" s="63"/>
      <c r="EC11" s="63"/>
      <c r="ED11" s="63"/>
    </row>
    <row r="12" spans="1:134" s="3" customFormat="1" ht="21.75" thickBot="1" x14ac:dyDescent="0.3">
      <c r="A12" s="18"/>
      <c r="B12" s="30" t="s">
        <v>19</v>
      </c>
      <c r="C12" s="31"/>
      <c r="D12" s="32">
        <v>0</v>
      </c>
      <c r="E12" s="82">
        <v>45313</v>
      </c>
      <c r="F12" s="83">
        <v>45324</v>
      </c>
      <c r="G12" s="24"/>
      <c r="H12" s="24">
        <f t="shared" si="16"/>
        <v>12</v>
      </c>
      <c r="I12" s="63"/>
      <c r="J12" s="63"/>
      <c r="K12" s="63"/>
      <c r="L12" s="63"/>
      <c r="M12" s="63"/>
      <c r="N12" s="63"/>
      <c r="O12" s="63"/>
      <c r="P12" s="63"/>
      <c r="Q12" s="63"/>
      <c r="R12" s="63"/>
      <c r="S12" s="63"/>
      <c r="T12" s="63"/>
      <c r="U12" s="63"/>
      <c r="V12" s="63"/>
      <c r="W12" s="63"/>
      <c r="X12" s="63"/>
      <c r="Y12" s="64"/>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row>
    <row r="13" spans="1:134" s="3" customFormat="1" ht="21.75" thickBot="1" x14ac:dyDescent="0.3">
      <c r="A13" s="18"/>
      <c r="B13" s="30" t="s">
        <v>20</v>
      </c>
      <c r="C13" s="31"/>
      <c r="D13" s="32">
        <v>0</v>
      </c>
      <c r="E13" s="82">
        <v>45313</v>
      </c>
      <c r="F13" s="83">
        <v>45324</v>
      </c>
      <c r="G13" s="24"/>
      <c r="H13" s="24">
        <f t="shared" si="16"/>
        <v>12</v>
      </c>
      <c r="I13" s="63"/>
      <c r="J13" s="63"/>
      <c r="K13" s="63"/>
      <c r="L13" s="63"/>
      <c r="M13" s="63"/>
      <c r="N13" s="63"/>
      <c r="O13" s="63"/>
      <c r="P13" s="63"/>
      <c r="Q13" s="63"/>
      <c r="R13" s="63"/>
      <c r="S13" s="63"/>
      <c r="T13" s="63"/>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63"/>
      <c r="DJ13" s="63"/>
      <c r="DK13" s="63"/>
      <c r="DL13" s="63"/>
      <c r="DM13" s="63"/>
      <c r="DN13" s="63"/>
      <c r="DO13" s="63"/>
      <c r="DP13" s="63"/>
      <c r="DQ13" s="63"/>
      <c r="DR13" s="63"/>
      <c r="DS13" s="63"/>
      <c r="DT13" s="63"/>
      <c r="DU13" s="63"/>
      <c r="DV13" s="63"/>
      <c r="DW13" s="63"/>
      <c r="DX13" s="63"/>
      <c r="DY13" s="63"/>
      <c r="DZ13" s="63"/>
      <c r="EA13" s="63"/>
      <c r="EB13" s="63"/>
      <c r="EC13" s="63"/>
      <c r="ED13" s="63"/>
    </row>
    <row r="14" spans="1:134" s="3" customFormat="1" ht="21.75" thickBot="1" x14ac:dyDescent="0.3">
      <c r="A14" s="18"/>
      <c r="B14" s="30" t="s">
        <v>21</v>
      </c>
      <c r="C14" s="31"/>
      <c r="D14" s="32">
        <v>0</v>
      </c>
      <c r="E14" s="82">
        <v>45316</v>
      </c>
      <c r="F14" s="83">
        <v>45316</v>
      </c>
      <c r="G14" s="24"/>
      <c r="H14" s="24">
        <f t="shared" ref="H14:H20" si="17">IF(OR(ISBLANK(task_start),ISBLANK(task_end)),"",task_end-task_start+1)</f>
        <v>1</v>
      </c>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63"/>
      <c r="DN14" s="63"/>
      <c r="DO14" s="63"/>
      <c r="DP14" s="63"/>
      <c r="DQ14" s="63"/>
      <c r="DR14" s="63"/>
      <c r="DS14" s="63"/>
      <c r="DT14" s="63"/>
      <c r="DU14" s="63"/>
      <c r="DV14" s="63"/>
      <c r="DW14" s="63"/>
      <c r="DX14" s="63"/>
      <c r="DY14" s="63"/>
      <c r="DZ14" s="63"/>
      <c r="EA14" s="63"/>
      <c r="EB14" s="63"/>
      <c r="EC14" s="63"/>
      <c r="ED14" s="63"/>
    </row>
    <row r="15" spans="1:134" s="3" customFormat="1" ht="21.75" thickBot="1" x14ac:dyDescent="0.3">
      <c r="A15" s="18"/>
      <c r="B15" s="41" t="s">
        <v>22</v>
      </c>
      <c r="C15" s="42"/>
      <c r="D15" s="43"/>
      <c r="E15" s="44"/>
      <c r="F15" s="45"/>
      <c r="G15" s="24"/>
      <c r="H15" s="24" t="str">
        <f t="shared" si="17"/>
        <v/>
      </c>
      <c r="I15" s="63"/>
      <c r="J15" s="63"/>
      <c r="K15" s="63"/>
      <c r="L15" s="63"/>
      <c r="M15" s="63"/>
      <c r="N15" s="63"/>
      <c r="O15" s="63"/>
      <c r="P15" s="63"/>
      <c r="Q15" s="63"/>
      <c r="R15" s="63"/>
      <c r="S15" s="63"/>
      <c r="T15" s="63"/>
      <c r="U15" s="63"/>
      <c r="V15" s="63"/>
      <c r="W15" s="63"/>
      <c r="X15" s="63"/>
      <c r="Y15" s="63"/>
      <c r="Z15" s="63"/>
      <c r="AA15" s="63"/>
      <c r="AB15" s="63"/>
      <c r="AC15" s="63"/>
      <c r="AD15" s="63"/>
      <c r="AE15" s="63"/>
      <c r="AF15" s="63"/>
      <c r="AG15" s="63"/>
      <c r="AH15" s="63"/>
      <c r="AI15" s="63"/>
      <c r="AJ15" s="63"/>
      <c r="AK15" s="63"/>
      <c r="AL15" s="63"/>
      <c r="AM15" s="63"/>
      <c r="AN15" s="63"/>
      <c r="AO15" s="63"/>
      <c r="AP15" s="63"/>
      <c r="AQ15" s="63"/>
      <c r="AR15" s="63"/>
      <c r="AS15" s="63"/>
      <c r="AT15" s="63"/>
      <c r="AU15" s="63"/>
      <c r="AV15" s="63"/>
      <c r="AW15" s="63"/>
      <c r="AX15" s="63"/>
      <c r="AY15" s="63"/>
      <c r="AZ15" s="63"/>
      <c r="BA15" s="63"/>
      <c r="BB15" s="63"/>
      <c r="BC15" s="63"/>
      <c r="BD15" s="63"/>
      <c r="BE15" s="63"/>
      <c r="BF15" s="63"/>
      <c r="BG15" s="63"/>
      <c r="BH15" s="63"/>
      <c r="BI15" s="63"/>
      <c r="BJ15" s="63"/>
      <c r="BK15" s="63"/>
      <c r="BL15" s="63"/>
      <c r="BM15" s="63"/>
      <c r="BN15" s="63"/>
      <c r="BO15" s="63"/>
      <c r="BP15" s="63"/>
      <c r="BQ15" s="63"/>
      <c r="BR15" s="63"/>
      <c r="BS15" s="63"/>
      <c r="BT15" s="63"/>
      <c r="BU15" s="63"/>
      <c r="BV15" s="63"/>
      <c r="BW15" s="63"/>
      <c r="BX15" s="63"/>
      <c r="BY15" s="63"/>
      <c r="BZ15" s="63"/>
      <c r="CA15" s="63"/>
      <c r="CB15" s="63"/>
      <c r="CC15" s="63"/>
      <c r="CD15" s="63"/>
      <c r="CE15" s="63"/>
      <c r="CF15" s="63"/>
      <c r="CG15" s="63"/>
      <c r="CH15" s="63"/>
      <c r="CI15" s="63"/>
      <c r="CJ15" s="63"/>
      <c r="CK15" s="63"/>
      <c r="CL15" s="63"/>
      <c r="CM15" s="63"/>
      <c r="CN15" s="63"/>
      <c r="CO15" s="63"/>
      <c r="CP15" s="63"/>
      <c r="CQ15" s="63"/>
      <c r="CR15" s="63"/>
      <c r="CS15" s="63"/>
      <c r="CT15" s="63"/>
      <c r="CU15" s="63"/>
      <c r="CV15" s="63"/>
      <c r="CW15" s="63"/>
      <c r="CX15" s="63"/>
      <c r="CY15" s="63"/>
      <c r="CZ15" s="63"/>
      <c r="DA15" s="63"/>
      <c r="DB15" s="63"/>
      <c r="DC15" s="63"/>
      <c r="DD15" s="63"/>
      <c r="DE15" s="63"/>
      <c r="DF15" s="63"/>
      <c r="DG15" s="63"/>
      <c r="DH15" s="63"/>
      <c r="DI15" s="63"/>
      <c r="DJ15" s="63"/>
      <c r="DK15" s="63"/>
      <c r="DL15" s="63"/>
      <c r="DM15" s="63"/>
      <c r="DN15" s="63"/>
      <c r="DO15" s="63"/>
      <c r="DP15" s="63"/>
      <c r="DQ15" s="63"/>
      <c r="DR15" s="63"/>
      <c r="DS15" s="63"/>
      <c r="DT15" s="63"/>
      <c r="DU15" s="63"/>
      <c r="DV15" s="63"/>
      <c r="DW15" s="63"/>
      <c r="DX15" s="63"/>
      <c r="DY15" s="63"/>
      <c r="DZ15" s="63"/>
      <c r="EA15" s="63"/>
      <c r="EB15" s="63"/>
      <c r="EC15" s="63"/>
      <c r="ED15" s="63"/>
    </row>
    <row r="16" spans="1:134" s="3" customFormat="1" ht="21.75" thickBot="1" x14ac:dyDescent="0.3">
      <c r="A16" s="18"/>
      <c r="B16" s="46" t="s">
        <v>23</v>
      </c>
      <c r="C16" s="47"/>
      <c r="D16" s="48">
        <v>0</v>
      </c>
      <c r="E16" s="86">
        <v>45327</v>
      </c>
      <c r="F16" s="86">
        <v>45327</v>
      </c>
      <c r="G16" s="24"/>
      <c r="H16" s="24">
        <f t="shared" si="17"/>
        <v>1</v>
      </c>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63"/>
      <c r="AW16" s="63"/>
      <c r="AX16" s="63"/>
      <c r="AY16" s="63"/>
      <c r="AZ16" s="63"/>
      <c r="BA16" s="63"/>
      <c r="BB16" s="63"/>
      <c r="BC16" s="63"/>
      <c r="BD16" s="63"/>
      <c r="BE16" s="63"/>
      <c r="BF16" s="63"/>
      <c r="BG16" s="63"/>
      <c r="BH16" s="63"/>
      <c r="BI16" s="63"/>
      <c r="BJ16" s="63"/>
      <c r="BK16" s="63"/>
      <c r="BL16" s="63"/>
      <c r="BM16" s="63"/>
      <c r="BN16" s="63"/>
      <c r="BO16" s="63"/>
      <c r="BP16" s="63"/>
      <c r="BQ16" s="63"/>
      <c r="BR16" s="63"/>
      <c r="BS16" s="63"/>
      <c r="BT16" s="63"/>
      <c r="BU16" s="63"/>
      <c r="BV16" s="63"/>
      <c r="BW16" s="63"/>
      <c r="BX16" s="63"/>
      <c r="BY16" s="63"/>
      <c r="BZ16" s="63"/>
      <c r="CA16" s="63"/>
      <c r="CB16" s="63"/>
      <c r="CC16" s="63"/>
      <c r="CD16" s="63"/>
      <c r="CE16" s="63"/>
      <c r="CF16" s="63"/>
      <c r="CG16" s="63"/>
      <c r="CH16" s="63"/>
      <c r="CI16" s="63"/>
      <c r="CJ16" s="63"/>
      <c r="CK16" s="63"/>
      <c r="CL16" s="63"/>
      <c r="CM16" s="63"/>
      <c r="CN16" s="63"/>
      <c r="CO16" s="63"/>
      <c r="CP16" s="63"/>
      <c r="CQ16" s="63"/>
      <c r="CR16" s="63"/>
      <c r="CS16" s="63"/>
      <c r="CT16" s="63"/>
      <c r="CU16" s="63"/>
      <c r="CV16" s="63"/>
      <c r="CW16" s="63"/>
      <c r="CX16" s="63"/>
      <c r="CY16" s="63"/>
      <c r="CZ16" s="63"/>
      <c r="DA16" s="63"/>
      <c r="DB16" s="63"/>
      <c r="DC16" s="63"/>
      <c r="DD16" s="63"/>
      <c r="DE16" s="63"/>
      <c r="DF16" s="63"/>
      <c r="DG16" s="63"/>
      <c r="DH16" s="63"/>
      <c r="DI16" s="63"/>
      <c r="DJ16" s="63"/>
      <c r="DK16" s="63"/>
      <c r="DL16" s="63"/>
      <c r="DM16" s="63"/>
      <c r="DN16" s="63"/>
      <c r="DO16" s="63"/>
      <c r="DP16" s="63"/>
      <c r="DQ16" s="63"/>
      <c r="DR16" s="63"/>
      <c r="DS16" s="63"/>
      <c r="DT16" s="63"/>
      <c r="DU16" s="63"/>
      <c r="DV16" s="63"/>
      <c r="DW16" s="63"/>
      <c r="DX16" s="63"/>
      <c r="DY16" s="63"/>
      <c r="DZ16" s="63"/>
      <c r="EA16" s="63"/>
      <c r="EB16" s="63"/>
      <c r="EC16" s="63"/>
      <c r="ED16" s="63"/>
    </row>
    <row r="17" spans="1:134" s="3" customFormat="1" ht="21.75" thickBot="1" x14ac:dyDescent="0.3">
      <c r="A17" s="18"/>
      <c r="B17" s="46" t="s">
        <v>24</v>
      </c>
      <c r="C17" s="47"/>
      <c r="D17" s="48">
        <v>0</v>
      </c>
      <c r="E17" s="86">
        <v>45328</v>
      </c>
      <c r="F17" s="86">
        <v>45328</v>
      </c>
      <c r="G17" s="24"/>
      <c r="H17" s="24">
        <f t="shared" si="17"/>
        <v>1</v>
      </c>
      <c r="I17" s="63"/>
      <c r="J17" s="63"/>
      <c r="K17" s="63"/>
      <c r="L17" s="63"/>
      <c r="M17" s="63"/>
      <c r="N17" s="63"/>
      <c r="O17" s="63"/>
      <c r="P17" s="63"/>
      <c r="Q17" s="63"/>
      <c r="R17" s="63"/>
      <c r="S17" s="63"/>
      <c r="T17" s="63"/>
      <c r="U17" s="63"/>
      <c r="V17" s="63"/>
      <c r="W17" s="63"/>
      <c r="X17" s="63"/>
      <c r="Y17" s="63"/>
      <c r="Z17" s="63"/>
      <c r="AA17" s="63"/>
      <c r="AB17" s="63"/>
      <c r="AC17" s="63"/>
      <c r="AD17" s="63"/>
      <c r="AE17" s="63"/>
      <c r="AF17" s="63"/>
      <c r="AG17" s="63"/>
      <c r="AH17" s="63"/>
      <c r="AI17" s="63"/>
      <c r="AJ17" s="63"/>
      <c r="AK17" s="63"/>
      <c r="AL17" s="63"/>
      <c r="AM17" s="63"/>
      <c r="AN17" s="63"/>
      <c r="AO17" s="63"/>
      <c r="AP17" s="63"/>
      <c r="AQ17" s="63"/>
      <c r="AR17" s="63"/>
      <c r="AS17" s="63"/>
      <c r="AT17" s="63"/>
      <c r="AU17" s="63"/>
      <c r="AV17" s="63"/>
      <c r="AW17" s="63"/>
      <c r="AX17" s="63"/>
      <c r="AY17" s="63"/>
      <c r="AZ17" s="63"/>
      <c r="BA17" s="63"/>
      <c r="BB17" s="63"/>
      <c r="BC17" s="63"/>
      <c r="BD17" s="63"/>
      <c r="BE17" s="63"/>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c r="CW17" s="63"/>
      <c r="CX17" s="63"/>
      <c r="CY17" s="63"/>
      <c r="CZ17" s="63"/>
      <c r="DA17" s="63"/>
      <c r="DB17" s="63"/>
      <c r="DC17" s="63"/>
      <c r="DD17" s="63"/>
      <c r="DE17" s="63"/>
      <c r="DF17" s="63"/>
      <c r="DG17" s="63"/>
      <c r="DH17" s="63"/>
      <c r="DI17" s="63"/>
      <c r="DJ17" s="63"/>
      <c r="DK17" s="63"/>
      <c r="DL17" s="63"/>
      <c r="DM17" s="63"/>
      <c r="DN17" s="63"/>
      <c r="DO17" s="63"/>
      <c r="DP17" s="63"/>
      <c r="DQ17" s="63"/>
      <c r="DR17" s="63"/>
      <c r="DS17" s="63"/>
      <c r="DT17" s="63"/>
      <c r="DU17" s="63"/>
      <c r="DV17" s="63"/>
      <c r="DW17" s="63"/>
      <c r="DX17" s="63"/>
      <c r="DY17" s="63"/>
      <c r="DZ17" s="63"/>
      <c r="EA17" s="63"/>
      <c r="EB17" s="63"/>
      <c r="EC17" s="63"/>
      <c r="ED17" s="63"/>
    </row>
    <row r="18" spans="1:134" s="3" customFormat="1" ht="21.75" thickBot="1" x14ac:dyDescent="0.3">
      <c r="A18" s="18"/>
      <c r="B18" s="46" t="s">
        <v>25</v>
      </c>
      <c r="C18" s="47"/>
      <c r="D18" s="48">
        <v>0</v>
      </c>
      <c r="E18" s="86">
        <v>45329</v>
      </c>
      <c r="F18" s="86">
        <v>45329</v>
      </c>
      <c r="G18" s="24"/>
      <c r="H18" s="24">
        <f t="shared" si="17"/>
        <v>1</v>
      </c>
      <c r="I18" s="63"/>
      <c r="J18" s="63"/>
      <c r="K18" s="63"/>
      <c r="L18" s="63"/>
      <c r="M18" s="63"/>
      <c r="N18" s="63"/>
      <c r="O18" s="63"/>
      <c r="P18" s="63"/>
      <c r="Q18" s="63"/>
      <c r="R18" s="63"/>
      <c r="S18" s="63"/>
      <c r="T18" s="63"/>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63"/>
      <c r="BA18" s="63"/>
      <c r="BB18" s="63"/>
      <c r="BC18" s="63"/>
      <c r="BD18" s="63"/>
      <c r="BE18" s="63"/>
      <c r="BF18" s="63"/>
      <c r="BG18" s="63"/>
      <c r="BH18" s="63"/>
      <c r="BI18" s="63"/>
      <c r="BJ18" s="63"/>
      <c r="BK18" s="63"/>
      <c r="BL18" s="63"/>
      <c r="BM18" s="63"/>
      <c r="BN18" s="63"/>
      <c r="BO18" s="63"/>
      <c r="BP18" s="63"/>
      <c r="BQ18" s="63"/>
      <c r="BR18" s="63"/>
      <c r="BS18" s="63"/>
      <c r="BT18" s="63"/>
      <c r="BU18" s="63"/>
      <c r="BV18" s="63"/>
      <c r="BW18" s="63"/>
      <c r="BX18" s="63"/>
      <c r="BY18" s="63"/>
      <c r="BZ18" s="63"/>
      <c r="CA18" s="63"/>
      <c r="CB18" s="63"/>
      <c r="CC18" s="63"/>
      <c r="CD18" s="63"/>
      <c r="CE18" s="63"/>
      <c r="CF18" s="63"/>
      <c r="CG18" s="63"/>
      <c r="CH18" s="63"/>
      <c r="CI18" s="63"/>
      <c r="CJ18" s="63"/>
      <c r="CK18" s="63"/>
      <c r="CL18" s="63"/>
      <c r="CM18" s="63"/>
      <c r="CN18" s="63"/>
      <c r="CO18" s="63"/>
      <c r="CP18" s="63"/>
      <c r="CQ18" s="63"/>
      <c r="CR18" s="63"/>
      <c r="CS18" s="63"/>
      <c r="CT18" s="63"/>
      <c r="CU18" s="63"/>
      <c r="CV18" s="63"/>
      <c r="CW18" s="63"/>
      <c r="CX18" s="63"/>
      <c r="CY18" s="63"/>
      <c r="CZ18" s="63"/>
      <c r="DA18" s="63"/>
      <c r="DB18" s="63"/>
      <c r="DC18" s="63"/>
      <c r="DD18" s="63"/>
      <c r="DE18" s="63"/>
      <c r="DF18" s="63"/>
      <c r="DG18" s="63"/>
      <c r="DH18" s="63"/>
      <c r="DI18" s="63"/>
      <c r="DJ18" s="63"/>
      <c r="DK18" s="63"/>
      <c r="DL18" s="63"/>
      <c r="DM18" s="63"/>
      <c r="DN18" s="63"/>
      <c r="DO18" s="63"/>
      <c r="DP18" s="63"/>
      <c r="DQ18" s="63"/>
      <c r="DR18" s="63"/>
      <c r="DS18" s="63"/>
      <c r="DT18" s="63"/>
      <c r="DU18" s="63"/>
      <c r="DV18" s="63"/>
      <c r="DW18" s="63"/>
      <c r="DX18" s="63"/>
      <c r="DY18" s="63"/>
      <c r="DZ18" s="63"/>
      <c r="EA18" s="63"/>
      <c r="EB18" s="63"/>
      <c r="EC18" s="63"/>
      <c r="ED18" s="63"/>
    </row>
    <row r="19" spans="1:134" s="3" customFormat="1" ht="21.75" thickBot="1" x14ac:dyDescent="0.3">
      <c r="A19" s="18"/>
      <c r="B19" s="46" t="s">
        <v>26</v>
      </c>
      <c r="C19" s="47"/>
      <c r="D19" s="48">
        <v>0</v>
      </c>
      <c r="E19" s="86">
        <v>45330</v>
      </c>
      <c r="F19" s="86">
        <v>45330</v>
      </c>
      <c r="G19" s="24"/>
      <c r="H19" s="24">
        <f t="shared" si="17"/>
        <v>1</v>
      </c>
      <c r="I19" s="63"/>
      <c r="J19" s="63"/>
      <c r="K19" s="63"/>
      <c r="L19" s="63"/>
      <c r="M19" s="63"/>
      <c r="N19" s="63"/>
      <c r="O19" s="63"/>
      <c r="P19" s="63"/>
      <c r="Q19" s="63"/>
      <c r="R19" s="63"/>
      <c r="S19" s="63"/>
      <c r="T19" s="63"/>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63"/>
      <c r="BA19" s="63"/>
      <c r="BB19" s="63"/>
      <c r="BC19" s="63"/>
      <c r="BD19" s="63"/>
      <c r="BE19" s="63"/>
      <c r="BF19" s="63"/>
      <c r="BG19" s="63"/>
      <c r="BH19" s="63"/>
      <c r="BI19" s="63"/>
      <c r="BJ19" s="63"/>
      <c r="BK19" s="63"/>
      <c r="BL19" s="63"/>
      <c r="BM19" s="63"/>
      <c r="BN19" s="63"/>
      <c r="BO19" s="63"/>
      <c r="BP19" s="63"/>
      <c r="BQ19" s="63"/>
      <c r="BR19" s="63"/>
      <c r="BS19" s="63"/>
      <c r="BT19" s="63"/>
      <c r="BU19" s="63"/>
      <c r="BV19" s="63"/>
      <c r="BW19" s="63"/>
      <c r="BX19" s="63"/>
      <c r="BY19" s="63"/>
      <c r="BZ19" s="63"/>
      <c r="CA19" s="63"/>
      <c r="CB19" s="63"/>
      <c r="CC19" s="63"/>
      <c r="CD19" s="63"/>
      <c r="CE19" s="63"/>
      <c r="CF19" s="63"/>
      <c r="CG19" s="63"/>
      <c r="CH19" s="63"/>
      <c r="CI19" s="63"/>
      <c r="CJ19" s="63"/>
      <c r="CK19" s="63"/>
      <c r="CL19" s="63"/>
      <c r="CM19" s="63"/>
      <c r="CN19" s="63"/>
      <c r="CO19" s="63"/>
      <c r="CP19" s="63"/>
      <c r="CQ19" s="63"/>
      <c r="CR19" s="63"/>
      <c r="CS19" s="63"/>
      <c r="CT19" s="63"/>
      <c r="CU19" s="63"/>
      <c r="CV19" s="63"/>
      <c r="CW19" s="63"/>
      <c r="CX19" s="63"/>
      <c r="CY19" s="63"/>
      <c r="CZ19" s="63"/>
      <c r="DA19" s="63"/>
      <c r="DB19" s="63"/>
      <c r="DC19" s="63"/>
      <c r="DD19" s="63"/>
      <c r="DE19" s="63"/>
      <c r="DF19" s="63"/>
      <c r="DG19" s="63"/>
      <c r="DH19" s="63"/>
      <c r="DI19" s="63"/>
      <c r="DJ19" s="63"/>
      <c r="DK19" s="63"/>
      <c r="DL19" s="63"/>
      <c r="DM19" s="63"/>
      <c r="DN19" s="63"/>
      <c r="DO19" s="63"/>
      <c r="DP19" s="63"/>
      <c r="DQ19" s="63"/>
      <c r="DR19" s="63"/>
      <c r="DS19" s="63"/>
      <c r="DT19" s="63"/>
      <c r="DU19" s="63"/>
      <c r="DV19" s="63"/>
      <c r="DW19" s="63"/>
      <c r="DX19" s="63"/>
      <c r="DY19" s="63"/>
      <c r="DZ19" s="63"/>
      <c r="EA19" s="63"/>
      <c r="EB19" s="63"/>
      <c r="EC19" s="63"/>
      <c r="ED19" s="63"/>
    </row>
    <row r="20" spans="1:134" s="3" customFormat="1" ht="21.75" thickBot="1" x14ac:dyDescent="0.3">
      <c r="A20" s="18"/>
      <c r="B20" s="46" t="s">
        <v>27</v>
      </c>
      <c r="C20" s="47"/>
      <c r="D20" s="48">
        <v>0</v>
      </c>
      <c r="E20" s="86">
        <v>45327</v>
      </c>
      <c r="F20" s="86">
        <v>45342</v>
      </c>
      <c r="G20" s="24"/>
      <c r="H20" s="24">
        <f t="shared" si="17"/>
        <v>16</v>
      </c>
      <c r="I20" s="63"/>
      <c r="J20" s="63"/>
      <c r="K20" s="63"/>
      <c r="L20" s="63"/>
      <c r="M20" s="63"/>
      <c r="N20" s="63"/>
      <c r="O20" s="63"/>
      <c r="P20" s="63"/>
      <c r="Q20" s="63"/>
      <c r="R20" s="63"/>
      <c r="S20" s="63"/>
      <c r="T20" s="63"/>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63"/>
      <c r="BA20" s="63"/>
      <c r="BB20" s="63"/>
      <c r="BC20" s="63"/>
      <c r="BD20" s="63"/>
      <c r="BE20" s="63"/>
      <c r="BF20" s="63"/>
      <c r="BG20" s="63"/>
      <c r="BH20" s="63"/>
      <c r="BI20" s="63"/>
      <c r="BJ20" s="63"/>
      <c r="BK20" s="63"/>
      <c r="BL20" s="63"/>
      <c r="BM20" s="63"/>
      <c r="BN20" s="63"/>
      <c r="BO20" s="63"/>
      <c r="BP20" s="63"/>
      <c r="BQ20" s="63"/>
      <c r="BR20" s="63"/>
      <c r="BS20" s="63"/>
      <c r="BT20" s="63"/>
      <c r="BU20" s="63"/>
      <c r="BV20" s="63"/>
      <c r="BW20" s="63"/>
      <c r="BX20" s="63"/>
      <c r="BY20" s="63"/>
      <c r="BZ20" s="63"/>
      <c r="CA20" s="63"/>
      <c r="CB20" s="63"/>
      <c r="CC20" s="63"/>
      <c r="CD20" s="63"/>
      <c r="CE20" s="63"/>
      <c r="CF20" s="63"/>
      <c r="CG20" s="63"/>
      <c r="CH20" s="63"/>
      <c r="CI20" s="63"/>
      <c r="CJ20" s="63"/>
      <c r="CK20" s="63"/>
      <c r="CL20" s="63"/>
      <c r="CM20" s="63"/>
      <c r="CN20" s="63"/>
      <c r="CO20" s="63"/>
      <c r="CP20" s="63"/>
      <c r="CQ20" s="63"/>
      <c r="CR20" s="63"/>
      <c r="CS20" s="63"/>
      <c r="CT20" s="63"/>
      <c r="CU20" s="63"/>
      <c r="CV20" s="63"/>
      <c r="CW20" s="63"/>
      <c r="CX20" s="63"/>
      <c r="CY20" s="63"/>
      <c r="CZ20" s="63"/>
      <c r="DA20" s="63"/>
      <c r="DB20" s="63"/>
      <c r="DC20" s="63"/>
      <c r="DD20" s="63"/>
      <c r="DE20" s="63"/>
      <c r="DF20" s="63"/>
      <c r="DG20" s="63"/>
      <c r="DH20" s="63"/>
      <c r="DI20" s="63"/>
      <c r="DJ20" s="63"/>
      <c r="DK20" s="63"/>
      <c r="DL20" s="63"/>
      <c r="DM20" s="63"/>
      <c r="DN20" s="63"/>
      <c r="DO20" s="63"/>
      <c r="DP20" s="63"/>
      <c r="DQ20" s="63"/>
      <c r="DR20" s="63"/>
      <c r="DS20" s="63"/>
      <c r="DT20" s="63"/>
      <c r="DU20" s="63"/>
      <c r="DV20" s="63"/>
      <c r="DW20" s="63"/>
      <c r="DX20" s="63"/>
      <c r="DY20" s="63"/>
      <c r="DZ20" s="63"/>
      <c r="EA20" s="63"/>
      <c r="EB20" s="63"/>
      <c r="EC20" s="63"/>
      <c r="ED20" s="63"/>
    </row>
    <row r="21" spans="1:134" s="3" customFormat="1" ht="21.75" thickBot="1" x14ac:dyDescent="0.3">
      <c r="A21" s="18"/>
      <c r="B21" s="33" t="s">
        <v>28</v>
      </c>
      <c r="C21" s="34"/>
      <c r="D21" s="35"/>
      <c r="E21" s="36"/>
      <c r="F21" s="37"/>
      <c r="G21" s="24"/>
      <c r="H21" s="24" t="str">
        <f t="shared" si="16"/>
        <v/>
      </c>
      <c r="I21" s="63"/>
      <c r="J21" s="63"/>
      <c r="K21" s="63"/>
      <c r="L21" s="63"/>
      <c r="M21" s="63"/>
      <c r="N21" s="63"/>
      <c r="O21" s="63"/>
      <c r="P21" s="63"/>
      <c r="Q21" s="63"/>
      <c r="R21" s="63"/>
      <c r="S21" s="63"/>
      <c r="T21" s="63"/>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63"/>
      <c r="BA21" s="63"/>
      <c r="BB21" s="63"/>
      <c r="BC21" s="63"/>
      <c r="BD21" s="63"/>
      <c r="BE21" s="63"/>
      <c r="BF21" s="63"/>
      <c r="BG21" s="63"/>
      <c r="BH21" s="63"/>
      <c r="BI21" s="63"/>
      <c r="BJ21" s="63"/>
      <c r="BK21" s="63"/>
      <c r="BL21" s="63"/>
      <c r="BM21" s="63"/>
      <c r="BN21" s="63"/>
      <c r="BO21" s="63"/>
      <c r="BP21" s="63"/>
      <c r="BQ21" s="63"/>
      <c r="BR21" s="63"/>
      <c r="BS21" s="63"/>
      <c r="BT21" s="63"/>
      <c r="BU21" s="63"/>
      <c r="BV21" s="63"/>
      <c r="BW21" s="63"/>
      <c r="BX21" s="63"/>
      <c r="BY21" s="63"/>
      <c r="BZ21" s="63"/>
      <c r="CA21" s="63"/>
      <c r="CB21" s="63"/>
      <c r="CC21" s="63"/>
      <c r="CD21" s="63"/>
      <c r="CE21" s="63"/>
      <c r="CF21" s="63"/>
      <c r="CG21" s="63"/>
      <c r="CH21" s="63"/>
      <c r="CI21" s="63"/>
      <c r="CJ21" s="63"/>
      <c r="CK21" s="63"/>
      <c r="CL21" s="63"/>
      <c r="CM21" s="63"/>
      <c r="CN21" s="63"/>
      <c r="CO21" s="63"/>
      <c r="CP21" s="63"/>
      <c r="CQ21" s="63"/>
      <c r="CR21" s="63"/>
      <c r="CS21" s="63"/>
      <c r="CT21" s="63"/>
      <c r="CU21" s="63"/>
      <c r="CV21" s="63"/>
      <c r="CW21" s="63"/>
      <c r="CX21" s="63"/>
      <c r="CY21" s="63"/>
      <c r="CZ21" s="63"/>
      <c r="DA21" s="63"/>
      <c r="DB21" s="63"/>
      <c r="DC21" s="63"/>
      <c r="DD21" s="63"/>
      <c r="DE21" s="63"/>
      <c r="DF21" s="63"/>
      <c r="DG21" s="63"/>
      <c r="DH21" s="63"/>
      <c r="DI21" s="63"/>
      <c r="DJ21" s="63"/>
      <c r="DK21" s="63"/>
      <c r="DL21" s="63"/>
      <c r="DM21" s="63"/>
      <c r="DN21" s="63"/>
      <c r="DO21" s="63"/>
      <c r="DP21" s="63"/>
      <c r="DQ21" s="63"/>
      <c r="DR21" s="63"/>
      <c r="DS21" s="63"/>
      <c r="DT21" s="63"/>
      <c r="DU21" s="63"/>
      <c r="DV21" s="63"/>
      <c r="DW21" s="63"/>
      <c r="DX21" s="63"/>
      <c r="DY21" s="63"/>
      <c r="DZ21" s="63"/>
      <c r="EA21" s="63"/>
      <c r="EB21" s="63"/>
      <c r="EC21" s="63"/>
      <c r="ED21" s="63"/>
    </row>
    <row r="22" spans="1:134" s="3" customFormat="1" ht="21.75" thickBot="1" x14ac:dyDescent="0.3">
      <c r="A22" s="18"/>
      <c r="B22" s="38" t="s">
        <v>23</v>
      </c>
      <c r="C22" s="39"/>
      <c r="D22" s="40">
        <v>0</v>
      </c>
      <c r="E22" s="84">
        <v>45329</v>
      </c>
      <c r="F22" s="85">
        <v>45329</v>
      </c>
      <c r="G22" s="24"/>
      <c r="H22" s="24">
        <f t="shared" si="16"/>
        <v>1</v>
      </c>
      <c r="I22" s="63"/>
      <c r="J22" s="63"/>
      <c r="K22" s="63"/>
      <c r="L22" s="63"/>
      <c r="M22" s="63"/>
      <c r="N22" s="63"/>
      <c r="O22" s="63"/>
      <c r="P22" s="63"/>
      <c r="Q22" s="63"/>
      <c r="R22" s="63"/>
      <c r="S22" s="63"/>
      <c r="T22" s="63"/>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63"/>
      <c r="BA22" s="63"/>
      <c r="BB22" s="63"/>
      <c r="BC22" s="63"/>
      <c r="BD22" s="63"/>
      <c r="BE22" s="63"/>
      <c r="BF22" s="63"/>
      <c r="BG22" s="63"/>
      <c r="BH22" s="63"/>
      <c r="BI22" s="63"/>
      <c r="BJ22" s="63"/>
      <c r="BK22" s="63"/>
      <c r="BL22" s="63"/>
      <c r="BM22" s="63"/>
      <c r="BN22" s="63"/>
      <c r="BO22" s="63"/>
      <c r="BP22" s="63"/>
      <c r="BQ22" s="63"/>
      <c r="BR22" s="63"/>
      <c r="BS22" s="63"/>
      <c r="BT22" s="63"/>
      <c r="BU22" s="63"/>
      <c r="BV22" s="63"/>
      <c r="BW22" s="63"/>
      <c r="BX22" s="63"/>
      <c r="BY22" s="63"/>
      <c r="BZ22" s="63"/>
      <c r="CA22" s="63"/>
      <c r="CB22" s="63"/>
      <c r="CC22" s="63"/>
      <c r="CD22" s="63"/>
      <c r="CE22" s="63"/>
      <c r="CF22" s="63"/>
      <c r="CG22" s="63"/>
      <c r="CH22" s="63"/>
      <c r="CI22" s="63"/>
      <c r="CJ22" s="63"/>
      <c r="CK22" s="63"/>
      <c r="CL22" s="63"/>
      <c r="CM22" s="63"/>
      <c r="CN22" s="63"/>
      <c r="CO22" s="63"/>
      <c r="CP22" s="63"/>
      <c r="CQ22" s="63"/>
      <c r="CR22" s="63"/>
      <c r="CS22" s="63"/>
      <c r="CT22" s="63"/>
      <c r="CU22" s="63"/>
      <c r="CV22" s="63"/>
      <c r="CW22" s="63"/>
      <c r="CX22" s="63"/>
      <c r="CY22" s="63"/>
      <c r="CZ22" s="63"/>
      <c r="DA22" s="63"/>
      <c r="DB22" s="63"/>
      <c r="DC22" s="63"/>
      <c r="DD22" s="63"/>
      <c r="DE22" s="63"/>
      <c r="DF22" s="63"/>
      <c r="DG22" s="63"/>
      <c r="DH22" s="63"/>
      <c r="DI22" s="63"/>
      <c r="DJ22" s="63"/>
      <c r="DK22" s="63"/>
      <c r="DL22" s="63"/>
      <c r="DM22" s="63"/>
      <c r="DN22" s="63"/>
      <c r="DO22" s="63"/>
      <c r="DP22" s="63"/>
      <c r="DQ22" s="63"/>
      <c r="DR22" s="63"/>
      <c r="DS22" s="63"/>
      <c r="DT22" s="63"/>
      <c r="DU22" s="63"/>
      <c r="DV22" s="63"/>
      <c r="DW22" s="63"/>
      <c r="DX22" s="63"/>
      <c r="DY22" s="63"/>
      <c r="DZ22" s="63"/>
      <c r="EA22" s="63"/>
      <c r="EB22" s="63"/>
      <c r="EC22" s="63"/>
      <c r="ED22" s="63"/>
    </row>
    <row r="23" spans="1:134" s="3" customFormat="1" ht="21.75" thickBot="1" x14ac:dyDescent="0.3">
      <c r="A23" s="18"/>
      <c r="B23" s="38" t="s">
        <v>29</v>
      </c>
      <c r="C23" s="39"/>
      <c r="D23" s="40">
        <v>1E-3</v>
      </c>
      <c r="E23" s="84">
        <v>45330</v>
      </c>
      <c r="F23" s="85">
        <v>45341</v>
      </c>
      <c r="G23" s="24"/>
      <c r="H23" s="24">
        <f t="shared" si="16"/>
        <v>12</v>
      </c>
      <c r="I23" s="63"/>
      <c r="J23" s="63"/>
      <c r="K23" s="63"/>
      <c r="L23" s="63"/>
      <c r="M23" s="63"/>
      <c r="N23" s="63"/>
      <c r="O23" s="63"/>
      <c r="P23" s="63"/>
      <c r="Q23" s="63"/>
      <c r="R23" s="63"/>
      <c r="S23" s="63"/>
      <c r="T23" s="63"/>
      <c r="U23" s="64"/>
      <c r="V23" s="64"/>
      <c r="W23" s="63"/>
      <c r="X23" s="63"/>
      <c r="Y23" s="63"/>
      <c r="Z23" s="63"/>
      <c r="AA23" s="63"/>
      <c r="AB23" s="63"/>
      <c r="AC23" s="63"/>
      <c r="AD23" s="63"/>
      <c r="AE23" s="63"/>
      <c r="AF23" s="63"/>
      <c r="AG23" s="63"/>
      <c r="AH23" s="63"/>
      <c r="AI23" s="63"/>
      <c r="AJ23" s="63"/>
      <c r="AK23" s="63"/>
      <c r="AL23" s="63"/>
      <c r="AM23" s="63"/>
      <c r="AN23" s="63"/>
      <c r="AO23" s="63"/>
      <c r="AP23" s="63"/>
      <c r="AQ23" s="63"/>
      <c r="AR23" s="63"/>
      <c r="AS23" s="63"/>
      <c r="AT23" s="63"/>
      <c r="AU23" s="63"/>
      <c r="AV23" s="63"/>
      <c r="AW23" s="63"/>
      <c r="AX23" s="63"/>
      <c r="AY23" s="63"/>
      <c r="AZ23" s="63"/>
      <c r="BA23" s="63"/>
      <c r="BB23" s="63"/>
      <c r="BC23" s="63"/>
      <c r="BD23" s="63"/>
      <c r="BE23" s="63"/>
      <c r="BF23" s="63"/>
      <c r="BG23" s="63"/>
      <c r="BH23" s="63"/>
      <c r="BI23" s="63"/>
      <c r="BJ23" s="63"/>
      <c r="BK23" s="63"/>
      <c r="BL23" s="63"/>
      <c r="BM23" s="63"/>
      <c r="BN23" s="63"/>
      <c r="BO23" s="63"/>
      <c r="BP23" s="63"/>
      <c r="BQ23" s="63"/>
      <c r="BR23" s="63"/>
      <c r="BS23" s="63"/>
      <c r="BT23" s="63"/>
      <c r="BU23" s="63"/>
      <c r="BV23" s="63"/>
      <c r="BW23" s="63"/>
      <c r="BX23" s="63"/>
      <c r="BY23" s="63"/>
      <c r="BZ23" s="63"/>
      <c r="CA23" s="63"/>
      <c r="CB23" s="63"/>
      <c r="CC23" s="63"/>
      <c r="CD23" s="63"/>
      <c r="CE23" s="63"/>
      <c r="CF23" s="63"/>
      <c r="CG23" s="63"/>
      <c r="CH23" s="63"/>
      <c r="CI23" s="63"/>
      <c r="CJ23" s="63"/>
      <c r="CK23" s="63"/>
      <c r="CL23" s="63"/>
      <c r="CM23" s="63"/>
      <c r="CN23" s="63"/>
      <c r="CO23" s="63"/>
      <c r="CP23" s="63"/>
      <c r="CQ23" s="63"/>
      <c r="CR23" s="63"/>
      <c r="CS23" s="63"/>
      <c r="CT23" s="63"/>
      <c r="CU23" s="63"/>
      <c r="CV23" s="63"/>
      <c r="CW23" s="63"/>
      <c r="CX23" s="63"/>
      <c r="CY23" s="63"/>
      <c r="CZ23" s="63"/>
      <c r="DA23" s="63"/>
      <c r="DB23" s="63"/>
      <c r="DC23" s="63"/>
      <c r="DD23" s="63"/>
      <c r="DE23" s="63"/>
      <c r="DF23" s="63"/>
      <c r="DG23" s="63"/>
      <c r="DH23" s="63"/>
      <c r="DI23" s="63"/>
      <c r="DJ23" s="63"/>
      <c r="DK23" s="63"/>
      <c r="DL23" s="63"/>
      <c r="DM23" s="63"/>
      <c r="DN23" s="63"/>
      <c r="DO23" s="63"/>
      <c r="DP23" s="63"/>
      <c r="DQ23" s="63"/>
      <c r="DR23" s="63"/>
      <c r="DS23" s="63"/>
      <c r="DT23" s="63"/>
      <c r="DU23" s="63"/>
      <c r="DV23" s="63"/>
      <c r="DW23" s="63"/>
      <c r="DX23" s="63"/>
      <c r="DY23" s="63"/>
      <c r="DZ23" s="63"/>
      <c r="EA23" s="63"/>
      <c r="EB23" s="63"/>
      <c r="EC23" s="63"/>
      <c r="ED23" s="63"/>
    </row>
    <row r="24" spans="1:134" s="3" customFormat="1" ht="21.75" thickBot="1" x14ac:dyDescent="0.3">
      <c r="A24" s="18"/>
      <c r="B24" s="38" t="s">
        <v>30</v>
      </c>
      <c r="C24" s="39"/>
      <c r="D24" s="40">
        <v>0</v>
      </c>
      <c r="E24" s="84">
        <v>45342</v>
      </c>
      <c r="F24" s="85">
        <v>45345</v>
      </c>
      <c r="G24" s="24"/>
      <c r="H24" s="24">
        <f t="shared" si="16"/>
        <v>4</v>
      </c>
      <c r="I24" s="63"/>
      <c r="J24" s="63"/>
      <c r="K24" s="63"/>
      <c r="L24" s="63"/>
      <c r="M24" s="63"/>
      <c r="N24" s="63"/>
      <c r="O24" s="63"/>
      <c r="P24" s="63"/>
      <c r="Q24" s="63"/>
      <c r="R24" s="63"/>
      <c r="S24" s="63"/>
      <c r="T24" s="63"/>
      <c r="U24" s="63"/>
      <c r="V24" s="63"/>
      <c r="W24" s="63"/>
      <c r="X24" s="63"/>
      <c r="Y24" s="63"/>
      <c r="Z24" s="63"/>
      <c r="AA24" s="63"/>
      <c r="AB24" s="63"/>
      <c r="AC24" s="63"/>
      <c r="AD24" s="63"/>
      <c r="AE24" s="63"/>
      <c r="AF24" s="63"/>
      <c r="AG24" s="63"/>
      <c r="AH24" s="63"/>
      <c r="AI24" s="63"/>
      <c r="AJ24" s="63"/>
      <c r="AK24" s="63"/>
      <c r="AL24" s="63"/>
      <c r="AM24" s="63"/>
      <c r="AN24" s="63"/>
      <c r="AO24" s="63"/>
      <c r="AP24" s="63"/>
      <c r="AQ24" s="63"/>
      <c r="AR24" s="63"/>
      <c r="AS24" s="63"/>
      <c r="AT24" s="63"/>
      <c r="AU24" s="63"/>
      <c r="AV24" s="63"/>
      <c r="AW24" s="63"/>
      <c r="AX24" s="63"/>
      <c r="AY24" s="63"/>
      <c r="AZ24" s="63"/>
      <c r="BA24" s="63"/>
      <c r="BB24" s="63"/>
      <c r="BC24" s="63"/>
      <c r="BD24" s="63"/>
      <c r="BE24" s="63"/>
      <c r="BF24" s="63"/>
      <c r="BG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E24" s="63"/>
      <c r="CF24" s="63"/>
      <c r="CG24" s="63"/>
      <c r="CH24" s="63"/>
      <c r="CI24" s="63"/>
      <c r="CJ24" s="63"/>
      <c r="CK24" s="63"/>
      <c r="CL24" s="63"/>
      <c r="CM24" s="63"/>
      <c r="CN24" s="63"/>
      <c r="CO24" s="63"/>
      <c r="CP24" s="63"/>
      <c r="CQ24" s="63"/>
      <c r="CR24" s="63"/>
      <c r="CS24" s="63"/>
      <c r="CT24" s="63"/>
      <c r="CU24" s="63"/>
      <c r="CV24" s="63"/>
      <c r="CW24" s="63"/>
      <c r="CX24" s="63"/>
      <c r="CY24" s="63"/>
      <c r="CZ24" s="63"/>
      <c r="DA24" s="63"/>
      <c r="DB24" s="63"/>
      <c r="DC24" s="63"/>
      <c r="DD24" s="63"/>
      <c r="DE24" s="63"/>
      <c r="DF24" s="63"/>
      <c r="DG24" s="63"/>
      <c r="DH24" s="63"/>
      <c r="DI24" s="63"/>
      <c r="DJ24" s="63"/>
      <c r="DK24" s="63"/>
      <c r="DL24" s="63"/>
      <c r="DM24" s="63"/>
      <c r="DN24" s="63"/>
      <c r="DO24" s="63"/>
      <c r="DP24" s="63"/>
      <c r="DQ24" s="63"/>
      <c r="DR24" s="63"/>
      <c r="DS24" s="63"/>
      <c r="DT24" s="63"/>
      <c r="DU24" s="63"/>
      <c r="DV24" s="63"/>
      <c r="DW24" s="63"/>
      <c r="DX24" s="63"/>
      <c r="DY24" s="63"/>
      <c r="DZ24" s="63"/>
      <c r="EA24" s="63"/>
      <c r="EB24" s="63"/>
      <c r="EC24" s="63"/>
      <c r="ED24" s="63"/>
    </row>
    <row r="25" spans="1:134" s="3" customFormat="1" ht="21.75" thickBot="1" x14ac:dyDescent="0.3">
      <c r="A25" s="18"/>
      <c r="B25" s="38" t="s">
        <v>31</v>
      </c>
      <c r="C25" s="39"/>
      <c r="D25" s="40">
        <v>0</v>
      </c>
      <c r="E25" s="84">
        <v>45346</v>
      </c>
      <c r="F25" s="85">
        <v>45348</v>
      </c>
      <c r="G25" s="24"/>
      <c r="H25" s="24">
        <f t="shared" si="16"/>
        <v>3</v>
      </c>
      <c r="I25" s="63"/>
      <c r="J25" s="63"/>
      <c r="K25" s="63"/>
      <c r="L25" s="63"/>
      <c r="M25" s="63"/>
      <c r="N25" s="63"/>
      <c r="O25" s="63"/>
      <c r="P25" s="63"/>
      <c r="Q25" s="63"/>
      <c r="R25" s="63"/>
      <c r="S25" s="63"/>
      <c r="T25" s="63"/>
      <c r="U25" s="63"/>
      <c r="V25" s="63"/>
      <c r="W25" s="63"/>
      <c r="X25" s="63"/>
      <c r="Y25" s="64"/>
      <c r="Z25" s="63"/>
      <c r="AA25" s="63"/>
      <c r="AB25" s="63"/>
      <c r="AC25" s="63"/>
      <c r="AD25" s="63"/>
      <c r="AE25" s="63"/>
      <c r="AF25" s="63"/>
      <c r="AG25" s="63"/>
      <c r="AH25" s="63"/>
      <c r="AI25" s="63"/>
      <c r="AJ25" s="63"/>
      <c r="AK25" s="63"/>
      <c r="AL25" s="63"/>
      <c r="AM25" s="63"/>
      <c r="AN25" s="63"/>
      <c r="AO25" s="63"/>
      <c r="AP25" s="63"/>
      <c r="AQ25" s="63"/>
      <c r="AR25" s="63"/>
      <c r="AS25" s="63"/>
      <c r="AT25" s="63"/>
      <c r="AU25" s="63"/>
      <c r="AV25" s="63"/>
      <c r="AW25" s="63"/>
      <c r="AX25" s="63"/>
      <c r="AY25" s="63"/>
      <c r="AZ25" s="63"/>
      <c r="BA25" s="63"/>
      <c r="BB25" s="63"/>
      <c r="BC25" s="63"/>
      <c r="BD25" s="63"/>
      <c r="BE25" s="63"/>
      <c r="BF25" s="63"/>
      <c r="BG25" s="63"/>
      <c r="BH25" s="63"/>
      <c r="BI25" s="63"/>
      <c r="BJ25" s="63"/>
      <c r="BK25" s="63"/>
      <c r="BL25" s="63"/>
      <c r="BM25" s="63"/>
      <c r="BN25" s="63"/>
      <c r="BO25" s="63"/>
      <c r="BP25" s="63"/>
      <c r="BQ25" s="63"/>
      <c r="BR25" s="63"/>
      <c r="BS25" s="63"/>
      <c r="BT25" s="63"/>
      <c r="BU25" s="63"/>
      <c r="BV25" s="63"/>
      <c r="BW25" s="63"/>
      <c r="BX25" s="63"/>
      <c r="BY25" s="63"/>
      <c r="BZ25" s="63"/>
      <c r="CA25" s="63"/>
      <c r="CB25" s="63"/>
      <c r="CC25" s="63"/>
      <c r="CD25" s="63"/>
      <c r="CE25" s="63"/>
      <c r="CF25" s="63"/>
      <c r="CG25" s="63"/>
      <c r="CH25" s="63"/>
      <c r="CI25" s="63"/>
      <c r="CJ25" s="63"/>
      <c r="CK25" s="63"/>
      <c r="CL25" s="63"/>
      <c r="CM25" s="63"/>
      <c r="CN25" s="63"/>
      <c r="CO25" s="63"/>
      <c r="CP25" s="63"/>
      <c r="CQ25" s="63"/>
      <c r="CR25" s="63"/>
      <c r="CS25" s="63"/>
      <c r="CT25" s="63"/>
      <c r="CU25" s="63"/>
      <c r="CV25" s="63"/>
      <c r="CW25" s="63"/>
      <c r="CX25" s="63"/>
      <c r="CY25" s="63"/>
      <c r="CZ25" s="63"/>
      <c r="DA25" s="63"/>
      <c r="DB25" s="63"/>
      <c r="DC25" s="63"/>
      <c r="DD25" s="63"/>
      <c r="DE25" s="63"/>
      <c r="DF25" s="63"/>
      <c r="DG25" s="63"/>
      <c r="DH25" s="63"/>
      <c r="DI25" s="63"/>
      <c r="DJ25" s="63"/>
      <c r="DK25" s="63"/>
      <c r="DL25" s="63"/>
      <c r="DM25" s="63"/>
      <c r="DN25" s="63"/>
      <c r="DO25" s="63"/>
      <c r="DP25" s="63"/>
      <c r="DQ25" s="63"/>
      <c r="DR25" s="63"/>
      <c r="DS25" s="63"/>
      <c r="DT25" s="63"/>
      <c r="DU25" s="63"/>
      <c r="DV25" s="63"/>
      <c r="DW25" s="63"/>
      <c r="DX25" s="63"/>
      <c r="DY25" s="63"/>
      <c r="DZ25" s="63"/>
      <c r="EA25" s="63"/>
      <c r="EB25" s="63"/>
      <c r="EC25" s="63"/>
      <c r="ED25" s="63"/>
    </row>
    <row r="26" spans="1:134" s="3" customFormat="1" ht="21.75" thickBot="1" x14ac:dyDescent="0.3">
      <c r="A26" s="18"/>
      <c r="B26" s="38" t="s">
        <v>32</v>
      </c>
      <c r="C26" s="39"/>
      <c r="D26" s="40">
        <v>0</v>
      </c>
      <c r="E26" s="84">
        <v>45349</v>
      </c>
      <c r="F26" s="85">
        <v>45349</v>
      </c>
      <c r="G26" s="24"/>
      <c r="H26" s="24">
        <f t="shared" si="16"/>
        <v>1</v>
      </c>
      <c r="I26" s="63"/>
      <c r="J26" s="63"/>
      <c r="K26" s="63"/>
      <c r="L26" s="63"/>
      <c r="M26" s="63"/>
      <c r="N26" s="63"/>
      <c r="O26" s="63"/>
      <c r="P26" s="63"/>
      <c r="Q26" s="63"/>
      <c r="R26" s="63"/>
      <c r="S26" s="63"/>
      <c r="T26" s="63"/>
      <c r="U26" s="63"/>
      <c r="V26" s="63"/>
      <c r="W26" s="63"/>
      <c r="X26" s="63"/>
      <c r="Y26" s="63"/>
      <c r="Z26" s="63"/>
      <c r="AA26" s="63"/>
      <c r="AB26" s="63"/>
      <c r="AC26" s="63"/>
      <c r="AD26" s="63"/>
      <c r="AE26" s="63"/>
      <c r="AF26" s="63"/>
      <c r="AG26" s="63"/>
      <c r="AH26" s="63"/>
      <c r="AI26" s="63"/>
      <c r="AJ26" s="63"/>
      <c r="AK26" s="63"/>
      <c r="AL26" s="63"/>
      <c r="AM26" s="63"/>
      <c r="AN26" s="63"/>
      <c r="AO26" s="63"/>
      <c r="AP26" s="63"/>
      <c r="AQ26" s="63"/>
      <c r="AR26" s="63"/>
      <c r="AS26" s="63"/>
      <c r="AT26" s="63"/>
      <c r="AU26" s="63"/>
      <c r="AV26" s="63"/>
      <c r="AW26" s="63"/>
      <c r="AX26" s="63"/>
      <c r="AY26" s="63"/>
      <c r="AZ26" s="63"/>
      <c r="BA26" s="63"/>
      <c r="BB26" s="63"/>
      <c r="BC26" s="63"/>
      <c r="BD26" s="63"/>
      <c r="BE26" s="63"/>
      <c r="BF26" s="63"/>
      <c r="BG26" s="63"/>
      <c r="BH26" s="63"/>
      <c r="BI26" s="63"/>
      <c r="BJ26" s="63"/>
      <c r="BK26" s="63"/>
      <c r="BL26" s="63"/>
      <c r="BM26" s="63"/>
      <c r="BN26" s="63"/>
      <c r="BO26" s="63"/>
      <c r="BP26" s="63"/>
      <c r="BQ26" s="63"/>
      <c r="BR26" s="63"/>
      <c r="BS26" s="63"/>
      <c r="BT26" s="63"/>
      <c r="BU26" s="63"/>
      <c r="BV26" s="63"/>
      <c r="BW26" s="63"/>
      <c r="BX26" s="63"/>
      <c r="BY26" s="63"/>
      <c r="BZ26" s="63"/>
      <c r="CA26" s="63"/>
      <c r="CB26" s="63"/>
      <c r="CC26" s="63"/>
      <c r="CD26" s="63"/>
      <c r="CE26" s="63"/>
      <c r="CF26" s="63"/>
      <c r="CG26" s="63"/>
      <c r="CH26" s="63"/>
      <c r="CI26" s="63"/>
      <c r="CJ26" s="63"/>
      <c r="CK26" s="63"/>
      <c r="CL26" s="63"/>
      <c r="CM26" s="63"/>
      <c r="CN26" s="63"/>
      <c r="CO26" s="63"/>
      <c r="CP26" s="63"/>
      <c r="CQ26" s="63"/>
      <c r="CR26" s="63"/>
      <c r="CS26" s="63"/>
      <c r="CT26" s="63"/>
      <c r="CU26" s="63"/>
      <c r="CV26" s="63"/>
      <c r="CW26" s="63"/>
      <c r="CX26" s="63"/>
      <c r="CY26" s="63"/>
      <c r="CZ26" s="63"/>
      <c r="DA26" s="63"/>
      <c r="DB26" s="63"/>
      <c r="DC26" s="63"/>
      <c r="DD26" s="63"/>
      <c r="DE26" s="63"/>
      <c r="DF26" s="63"/>
      <c r="DG26" s="63"/>
      <c r="DH26" s="63"/>
      <c r="DI26" s="63"/>
      <c r="DJ26" s="63"/>
      <c r="DK26" s="63"/>
      <c r="DL26" s="63"/>
      <c r="DM26" s="63"/>
      <c r="DN26" s="63"/>
      <c r="DO26" s="63"/>
      <c r="DP26" s="63"/>
      <c r="DQ26" s="63"/>
      <c r="DR26" s="63"/>
      <c r="DS26" s="63"/>
      <c r="DT26" s="63"/>
      <c r="DU26" s="63"/>
      <c r="DV26" s="63"/>
      <c r="DW26" s="63"/>
      <c r="DX26" s="63"/>
      <c r="DY26" s="63"/>
      <c r="DZ26" s="63"/>
      <c r="EA26" s="63"/>
      <c r="EB26" s="63"/>
      <c r="EC26" s="63"/>
      <c r="ED26" s="63"/>
    </row>
    <row r="27" spans="1:134" s="3" customFormat="1" ht="21.75" thickBot="1" x14ac:dyDescent="0.3">
      <c r="A27" s="18"/>
      <c r="B27" s="89" t="s">
        <v>33</v>
      </c>
      <c r="C27" s="90"/>
      <c r="D27" s="32"/>
      <c r="E27" s="91"/>
      <c r="F27" s="92"/>
      <c r="G27" s="24"/>
      <c r="H27" s="24" t="str">
        <f t="shared" si="16"/>
        <v/>
      </c>
      <c r="I27" s="63"/>
      <c r="J27" s="63"/>
      <c r="K27" s="63"/>
      <c r="L27" s="63"/>
      <c r="M27" s="63"/>
      <c r="N27" s="63"/>
      <c r="O27" s="63"/>
      <c r="P27" s="63"/>
      <c r="Q27" s="63"/>
      <c r="R27" s="63"/>
      <c r="S27" s="63"/>
      <c r="T27" s="63"/>
      <c r="U27" s="63"/>
      <c r="V27" s="63"/>
      <c r="W27" s="63"/>
      <c r="X27" s="63"/>
      <c r="Y27" s="63"/>
      <c r="Z27" s="63"/>
      <c r="AA27" s="63"/>
      <c r="AB27" s="63"/>
      <c r="AC27" s="63"/>
      <c r="AD27" s="63"/>
      <c r="AE27" s="63"/>
      <c r="AF27" s="63"/>
      <c r="AG27" s="63"/>
      <c r="AH27" s="63"/>
      <c r="AI27" s="63"/>
      <c r="AJ27" s="63"/>
      <c r="AK27" s="63"/>
      <c r="AL27" s="63"/>
      <c r="AM27" s="63"/>
      <c r="AN27" s="63"/>
      <c r="AO27" s="63"/>
      <c r="AP27" s="63"/>
      <c r="AQ27" s="63"/>
      <c r="AR27" s="63"/>
      <c r="AS27" s="63"/>
      <c r="AT27" s="63"/>
      <c r="AU27" s="63"/>
      <c r="AV27" s="63"/>
      <c r="AW27" s="63"/>
      <c r="AX27" s="63"/>
      <c r="AY27" s="63"/>
      <c r="AZ27" s="63"/>
      <c r="BA27" s="63"/>
      <c r="BB27" s="63"/>
      <c r="BC27" s="63"/>
      <c r="BD27" s="63"/>
      <c r="BE27" s="63"/>
      <c r="BF27" s="63"/>
      <c r="BG27" s="63"/>
      <c r="BH27" s="63"/>
      <c r="BI27" s="63"/>
      <c r="BJ27" s="63"/>
      <c r="BK27" s="63"/>
      <c r="BL27" s="63"/>
      <c r="BM27" s="63"/>
      <c r="BN27" s="63"/>
      <c r="BO27" s="63"/>
      <c r="BP27" s="63"/>
      <c r="BQ27" s="63"/>
      <c r="BR27" s="63"/>
      <c r="BS27" s="63"/>
      <c r="BT27" s="63"/>
      <c r="BU27" s="63"/>
      <c r="BV27" s="63"/>
      <c r="BW27" s="63"/>
      <c r="BX27" s="63"/>
      <c r="BY27" s="63"/>
      <c r="BZ27" s="63"/>
      <c r="CA27" s="63"/>
      <c r="CB27" s="63"/>
      <c r="CC27" s="63"/>
      <c r="CD27" s="63"/>
      <c r="CE27" s="63"/>
      <c r="CF27" s="63"/>
      <c r="CG27" s="63"/>
      <c r="CH27" s="63"/>
      <c r="CI27" s="63"/>
      <c r="CJ27" s="63"/>
      <c r="CK27" s="63"/>
      <c r="CL27" s="63"/>
      <c r="CM27" s="63"/>
      <c r="CN27" s="63"/>
      <c r="CO27" s="63"/>
      <c r="CP27" s="63"/>
      <c r="CQ27" s="63"/>
      <c r="CR27" s="63"/>
      <c r="CS27" s="63"/>
      <c r="CT27" s="63"/>
      <c r="CU27" s="63"/>
      <c r="CV27" s="63"/>
      <c r="CW27" s="63"/>
      <c r="CX27" s="63"/>
      <c r="CY27" s="63"/>
      <c r="CZ27" s="63"/>
      <c r="DA27" s="63"/>
      <c r="DB27" s="63"/>
      <c r="DC27" s="63"/>
      <c r="DD27" s="63"/>
      <c r="DE27" s="63"/>
      <c r="DF27" s="63"/>
      <c r="DG27" s="63"/>
      <c r="DH27" s="63"/>
      <c r="DI27" s="63"/>
      <c r="DJ27" s="63"/>
      <c r="DK27" s="63"/>
      <c r="DL27" s="63"/>
      <c r="DM27" s="63"/>
      <c r="DN27" s="63"/>
      <c r="DO27" s="63"/>
      <c r="DP27" s="63"/>
      <c r="DQ27" s="63"/>
      <c r="DR27" s="63"/>
      <c r="DS27" s="63"/>
      <c r="DT27" s="63"/>
      <c r="DU27" s="63"/>
      <c r="DV27" s="63"/>
      <c r="DW27" s="63"/>
      <c r="DX27" s="63"/>
      <c r="DY27" s="63"/>
      <c r="DZ27" s="63"/>
      <c r="EA27" s="63"/>
      <c r="EB27" s="63"/>
      <c r="EC27" s="63"/>
      <c r="ED27" s="63"/>
    </row>
    <row r="28" spans="1:134" s="3" customFormat="1" ht="21.75" thickBot="1" x14ac:dyDescent="0.3">
      <c r="A28" s="18"/>
      <c r="B28" s="30" t="s">
        <v>23</v>
      </c>
      <c r="C28" s="31"/>
      <c r="D28" s="32">
        <v>0</v>
      </c>
      <c r="E28" s="82">
        <v>45341</v>
      </c>
      <c r="F28" s="83">
        <v>45341</v>
      </c>
      <c r="G28" s="24"/>
      <c r="H28" s="24">
        <f t="shared" si="16"/>
        <v>1</v>
      </c>
      <c r="I28" s="63"/>
      <c r="J28" s="63"/>
      <c r="K28" s="63"/>
      <c r="L28" s="63"/>
      <c r="M28" s="63"/>
      <c r="N28" s="63"/>
      <c r="O28" s="63"/>
      <c r="P28" s="63"/>
      <c r="Q28" s="63"/>
      <c r="R28" s="63"/>
      <c r="S28" s="63"/>
      <c r="T28" s="63"/>
      <c r="U28" s="63"/>
      <c r="V28" s="63"/>
      <c r="W28" s="63"/>
      <c r="X28" s="63"/>
      <c r="Y28" s="63"/>
      <c r="Z28" s="63"/>
      <c r="AA28" s="63"/>
      <c r="AB28" s="63"/>
      <c r="AC28" s="63"/>
      <c r="AD28" s="63"/>
      <c r="AE28" s="63"/>
      <c r="AF28" s="63"/>
      <c r="AG28" s="63"/>
      <c r="AH28" s="63"/>
      <c r="AI28" s="63"/>
      <c r="AJ28" s="63"/>
      <c r="AK28" s="63"/>
      <c r="AL28" s="63"/>
      <c r="AM28" s="63"/>
      <c r="AN28" s="63"/>
      <c r="AO28" s="63"/>
      <c r="AP28" s="63"/>
      <c r="AQ28" s="63"/>
      <c r="AR28" s="63"/>
      <c r="AS28" s="63"/>
      <c r="AT28" s="63"/>
      <c r="AU28" s="63"/>
      <c r="AV28" s="63"/>
      <c r="AW28" s="63"/>
      <c r="AX28" s="63"/>
      <c r="AY28" s="63"/>
      <c r="AZ28" s="63"/>
      <c r="BA28" s="63"/>
      <c r="BB28" s="63"/>
      <c r="BC28" s="63"/>
      <c r="BD28" s="63"/>
      <c r="BE28" s="63"/>
      <c r="BF28" s="63"/>
      <c r="BG28" s="63"/>
      <c r="BH28" s="63"/>
      <c r="BI28" s="63"/>
      <c r="BJ28" s="63"/>
      <c r="BK28" s="63"/>
      <c r="BL28" s="63"/>
      <c r="BM28" s="63"/>
      <c r="BN28" s="63"/>
      <c r="BO28" s="63"/>
      <c r="BP28" s="63"/>
      <c r="BQ28" s="63"/>
      <c r="BR28" s="63"/>
      <c r="BS28" s="63"/>
      <c r="BT28" s="63"/>
      <c r="BU28" s="63"/>
      <c r="BV28" s="63"/>
      <c r="BW28" s="63"/>
      <c r="BX28" s="63"/>
      <c r="BY28" s="63"/>
      <c r="BZ28" s="63"/>
      <c r="CA28" s="63"/>
      <c r="CB28" s="63"/>
      <c r="CC28" s="63"/>
      <c r="CD28" s="63"/>
      <c r="CE28" s="63"/>
      <c r="CF28" s="63"/>
      <c r="CG28" s="63"/>
      <c r="CH28" s="63"/>
      <c r="CI28" s="63"/>
      <c r="CJ28" s="63"/>
      <c r="CK28" s="63"/>
      <c r="CL28" s="63"/>
      <c r="CM28" s="63"/>
      <c r="CN28" s="63"/>
      <c r="CO28" s="63"/>
      <c r="CP28" s="63"/>
      <c r="CQ28" s="63"/>
      <c r="CR28" s="63"/>
      <c r="CS28" s="63"/>
      <c r="CT28" s="63"/>
      <c r="CU28" s="63"/>
      <c r="CV28" s="63"/>
      <c r="CW28" s="63"/>
      <c r="CX28" s="63"/>
      <c r="CY28" s="63"/>
      <c r="CZ28" s="63"/>
      <c r="DA28" s="63"/>
      <c r="DB28" s="63"/>
      <c r="DC28" s="63"/>
      <c r="DD28" s="63"/>
      <c r="DE28" s="63"/>
      <c r="DF28" s="63"/>
      <c r="DG28" s="63"/>
      <c r="DH28" s="63"/>
      <c r="DI28" s="63"/>
      <c r="DJ28" s="63"/>
      <c r="DK28" s="63"/>
      <c r="DL28" s="63"/>
      <c r="DM28" s="63"/>
      <c r="DN28" s="63"/>
      <c r="DO28" s="63"/>
      <c r="DP28" s="63"/>
      <c r="DQ28" s="63"/>
      <c r="DR28" s="63"/>
      <c r="DS28" s="63"/>
      <c r="DT28" s="63"/>
      <c r="DU28" s="63"/>
      <c r="DV28" s="63"/>
      <c r="DW28" s="63"/>
      <c r="DX28" s="63"/>
      <c r="DY28" s="63"/>
      <c r="DZ28" s="63"/>
      <c r="EA28" s="63"/>
      <c r="EB28" s="63"/>
      <c r="EC28" s="63"/>
      <c r="ED28" s="63"/>
    </row>
    <row r="29" spans="1:134" s="3" customFormat="1" ht="21.75" thickBot="1" x14ac:dyDescent="0.3">
      <c r="A29" s="18"/>
      <c r="B29" s="30" t="s">
        <v>29</v>
      </c>
      <c r="C29" s="31"/>
      <c r="D29" s="32">
        <v>0</v>
      </c>
      <c r="E29" s="82">
        <v>45342</v>
      </c>
      <c r="F29" s="83">
        <v>45366</v>
      </c>
      <c r="G29" s="24"/>
      <c r="H29" s="24">
        <f t="shared" si="16"/>
        <v>25</v>
      </c>
      <c r="I29" s="63"/>
      <c r="J29" s="63"/>
      <c r="K29" s="63"/>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3"/>
      <c r="AW29" s="63"/>
      <c r="AX29" s="63"/>
      <c r="AY29" s="63"/>
      <c r="AZ29" s="63"/>
      <c r="BA29" s="63"/>
      <c r="BB29" s="63"/>
      <c r="BC29" s="63"/>
      <c r="BD29" s="63"/>
      <c r="BE29" s="63"/>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c r="DG29" s="63"/>
      <c r="DH29" s="63"/>
      <c r="DI29" s="63"/>
      <c r="DJ29" s="63"/>
      <c r="DK29" s="63"/>
      <c r="DL29" s="63"/>
      <c r="DM29" s="63"/>
      <c r="DN29" s="63"/>
      <c r="DO29" s="63"/>
      <c r="DP29" s="63"/>
      <c r="DQ29" s="63"/>
      <c r="DR29" s="63"/>
      <c r="DS29" s="63"/>
      <c r="DT29" s="63"/>
      <c r="DU29" s="63"/>
      <c r="DV29" s="63"/>
      <c r="DW29" s="63"/>
      <c r="DX29" s="63"/>
      <c r="DY29" s="63"/>
      <c r="DZ29" s="63"/>
      <c r="EA29" s="63"/>
      <c r="EB29" s="63"/>
      <c r="EC29" s="63"/>
      <c r="ED29" s="63"/>
    </row>
    <row r="30" spans="1:134" s="3" customFormat="1" ht="21.75" thickBot="1" x14ac:dyDescent="0.3">
      <c r="A30" s="18"/>
      <c r="B30" s="30" t="s">
        <v>30</v>
      </c>
      <c r="C30" s="31"/>
      <c r="D30" s="32">
        <v>0</v>
      </c>
      <c r="E30" s="82">
        <v>45369</v>
      </c>
      <c r="F30" s="83">
        <v>45376</v>
      </c>
      <c r="G30" s="24"/>
      <c r="H30" s="24">
        <f t="shared" si="16"/>
        <v>8</v>
      </c>
      <c r="I30" s="63"/>
      <c r="J30" s="63"/>
      <c r="K30" s="63"/>
      <c r="L30" s="63"/>
      <c r="M30" s="63"/>
      <c r="N30" s="63"/>
      <c r="O30" s="63"/>
      <c r="P30" s="63"/>
      <c r="Q30" s="63"/>
      <c r="R30" s="63"/>
      <c r="S30" s="63"/>
      <c r="T30" s="63"/>
      <c r="U30" s="63"/>
      <c r="V30" s="63"/>
      <c r="W30" s="63"/>
      <c r="X30" s="63"/>
      <c r="Y30" s="63"/>
      <c r="Z30" s="63"/>
      <c r="AA30" s="63"/>
      <c r="AB30" s="63"/>
      <c r="AC30" s="63"/>
      <c r="AD30" s="63"/>
      <c r="AE30" s="63"/>
      <c r="AF30" s="63"/>
      <c r="AG30" s="63"/>
      <c r="AH30" s="63"/>
      <c r="AI30" s="63"/>
      <c r="AJ30" s="63"/>
      <c r="AK30" s="63"/>
      <c r="AL30" s="63"/>
      <c r="AM30" s="63"/>
      <c r="AN30" s="63"/>
      <c r="AO30" s="63"/>
      <c r="AP30" s="63"/>
      <c r="AQ30" s="63"/>
      <c r="AR30" s="63"/>
      <c r="AS30" s="63"/>
      <c r="AT30" s="63"/>
      <c r="AU30" s="63"/>
      <c r="AV30" s="63"/>
      <c r="AW30" s="63"/>
      <c r="AX30" s="63"/>
      <c r="AY30" s="63"/>
      <c r="AZ30" s="63"/>
      <c r="BA30" s="63"/>
      <c r="BB30" s="63"/>
      <c r="BC30" s="63"/>
      <c r="BD30" s="63"/>
      <c r="BE30" s="63"/>
      <c r="BF30" s="63"/>
      <c r="BG30" s="63"/>
      <c r="BH30" s="63"/>
      <c r="BI30" s="63"/>
      <c r="BJ30" s="63"/>
      <c r="BK30" s="63"/>
      <c r="BL30" s="63"/>
      <c r="BM30" s="63"/>
      <c r="BN30" s="63"/>
      <c r="BO30" s="63"/>
      <c r="BP30" s="63"/>
      <c r="BQ30" s="63"/>
      <c r="BR30" s="63"/>
      <c r="BS30" s="63"/>
      <c r="BT30" s="63"/>
      <c r="BU30" s="63"/>
      <c r="BV30" s="63"/>
      <c r="BW30" s="63"/>
      <c r="BX30" s="63"/>
      <c r="BY30" s="63"/>
      <c r="BZ30" s="63"/>
      <c r="CA30" s="63"/>
      <c r="CB30" s="63"/>
      <c r="CC30" s="63"/>
      <c r="CD30" s="63"/>
      <c r="CE30" s="63"/>
      <c r="CF30" s="63"/>
      <c r="CG30" s="63"/>
      <c r="CH30" s="63"/>
      <c r="CI30" s="63"/>
      <c r="CJ30" s="63"/>
      <c r="CK30" s="63"/>
      <c r="CL30" s="63"/>
      <c r="CM30" s="63"/>
      <c r="CN30" s="63"/>
      <c r="CO30" s="63"/>
      <c r="CP30" s="63"/>
      <c r="CQ30" s="63"/>
      <c r="CR30" s="63"/>
      <c r="CS30" s="63"/>
      <c r="CT30" s="63"/>
      <c r="CU30" s="63"/>
      <c r="CV30" s="63"/>
      <c r="CW30" s="63"/>
      <c r="CX30" s="63"/>
      <c r="CY30" s="63"/>
      <c r="CZ30" s="63"/>
      <c r="DA30" s="63"/>
      <c r="DB30" s="63"/>
      <c r="DC30" s="63"/>
      <c r="DD30" s="63"/>
      <c r="DE30" s="63"/>
      <c r="DF30" s="63"/>
      <c r="DG30" s="63"/>
      <c r="DH30" s="63"/>
      <c r="DI30" s="63"/>
      <c r="DJ30" s="63"/>
      <c r="DK30" s="63"/>
      <c r="DL30" s="63"/>
      <c r="DM30" s="63"/>
      <c r="DN30" s="63"/>
      <c r="DO30" s="63"/>
      <c r="DP30" s="63"/>
      <c r="DQ30" s="63"/>
      <c r="DR30" s="63"/>
      <c r="DS30" s="63"/>
      <c r="DT30" s="63"/>
      <c r="DU30" s="63"/>
      <c r="DV30" s="63"/>
      <c r="DW30" s="63"/>
      <c r="DX30" s="63"/>
      <c r="DY30" s="63"/>
      <c r="DZ30" s="63"/>
      <c r="EA30" s="63"/>
      <c r="EB30" s="63"/>
      <c r="EC30" s="63"/>
      <c r="ED30" s="63"/>
    </row>
    <row r="31" spans="1:134" s="3" customFormat="1" ht="21.75" thickBot="1" x14ac:dyDescent="0.3">
      <c r="A31" s="18"/>
      <c r="B31" s="30" t="s">
        <v>31</v>
      </c>
      <c r="C31" s="31"/>
      <c r="D31" s="32">
        <v>0</v>
      </c>
      <c r="E31" s="82">
        <v>45377</v>
      </c>
      <c r="F31" s="83">
        <v>45386</v>
      </c>
      <c r="G31" s="24"/>
      <c r="H31" s="24">
        <f t="shared" si="16"/>
        <v>10</v>
      </c>
      <c r="I31" s="63"/>
      <c r="J31" s="63"/>
      <c r="K31" s="63"/>
      <c r="L31" s="63"/>
      <c r="M31" s="63"/>
      <c r="N31" s="63"/>
      <c r="O31" s="63"/>
      <c r="P31" s="63"/>
      <c r="Q31" s="63"/>
      <c r="R31" s="63"/>
      <c r="S31" s="63"/>
      <c r="T31" s="63"/>
      <c r="U31" s="63"/>
      <c r="V31" s="63"/>
      <c r="W31" s="63"/>
      <c r="X31" s="63"/>
      <c r="Y31" s="63"/>
      <c r="Z31" s="63"/>
      <c r="AA31" s="63"/>
      <c r="AB31" s="63"/>
      <c r="AC31" s="63"/>
      <c r="AD31" s="63"/>
      <c r="AE31" s="63"/>
      <c r="AF31" s="63"/>
      <c r="AG31" s="63"/>
      <c r="AH31" s="63"/>
      <c r="AI31" s="63"/>
      <c r="AJ31" s="63"/>
      <c r="AK31" s="63"/>
      <c r="AL31" s="63"/>
      <c r="AM31" s="63"/>
      <c r="AN31" s="63"/>
      <c r="AO31" s="63"/>
      <c r="AP31" s="63"/>
      <c r="AQ31" s="63"/>
      <c r="AR31" s="63"/>
      <c r="AS31" s="63"/>
      <c r="AT31" s="63"/>
      <c r="AU31" s="63"/>
      <c r="AV31" s="63"/>
      <c r="AW31" s="63"/>
      <c r="AX31" s="63"/>
      <c r="AY31" s="63"/>
      <c r="AZ31" s="63"/>
      <c r="BA31" s="63"/>
      <c r="BB31" s="63"/>
      <c r="BC31" s="63"/>
      <c r="BD31" s="63"/>
      <c r="BE31" s="63"/>
      <c r="BF31" s="63"/>
      <c r="BG31" s="63"/>
      <c r="BH31" s="63"/>
      <c r="BI31" s="63"/>
      <c r="BJ31" s="63"/>
      <c r="BK31" s="63"/>
      <c r="BL31" s="63"/>
      <c r="BM31" s="63"/>
      <c r="BN31" s="63"/>
      <c r="BO31" s="63"/>
      <c r="BP31" s="63"/>
      <c r="BQ31" s="63"/>
      <c r="BR31" s="63"/>
      <c r="BS31" s="63"/>
      <c r="BT31" s="63"/>
      <c r="BU31" s="63"/>
      <c r="BV31" s="63"/>
      <c r="BW31" s="63"/>
      <c r="BX31" s="63"/>
      <c r="BY31" s="63"/>
      <c r="BZ31" s="63"/>
      <c r="CA31" s="63"/>
      <c r="CB31" s="63"/>
      <c r="CC31" s="63"/>
      <c r="CD31" s="63"/>
      <c r="CE31" s="63"/>
      <c r="CF31" s="63"/>
      <c r="CG31" s="63"/>
      <c r="CH31" s="63"/>
      <c r="CI31" s="63"/>
      <c r="CJ31" s="63"/>
      <c r="CK31" s="63"/>
      <c r="CL31" s="63"/>
      <c r="CM31" s="63"/>
      <c r="CN31" s="63"/>
      <c r="CO31" s="63"/>
      <c r="CP31" s="63"/>
      <c r="CQ31" s="63"/>
      <c r="CR31" s="63"/>
      <c r="CS31" s="63"/>
      <c r="CT31" s="63"/>
      <c r="CU31" s="63"/>
      <c r="CV31" s="63"/>
      <c r="CW31" s="63"/>
      <c r="CX31" s="63"/>
      <c r="CY31" s="63"/>
      <c r="CZ31" s="63"/>
      <c r="DA31" s="63"/>
      <c r="DB31" s="63"/>
      <c r="DC31" s="63"/>
      <c r="DD31" s="63"/>
      <c r="DE31" s="63"/>
      <c r="DF31" s="63"/>
      <c r="DG31" s="63"/>
      <c r="DH31" s="63"/>
      <c r="DI31" s="63"/>
      <c r="DJ31" s="63"/>
      <c r="DK31" s="63"/>
      <c r="DL31" s="63"/>
      <c r="DM31" s="63"/>
      <c r="DN31" s="63"/>
      <c r="DO31" s="63"/>
      <c r="DP31" s="63"/>
      <c r="DQ31" s="63"/>
      <c r="DR31" s="63"/>
      <c r="DS31" s="63"/>
      <c r="DT31" s="63"/>
      <c r="DU31" s="63"/>
      <c r="DV31" s="63"/>
      <c r="DW31" s="63"/>
      <c r="DX31" s="63"/>
      <c r="DY31" s="63"/>
      <c r="DZ31" s="63"/>
      <c r="EA31" s="63"/>
      <c r="EB31" s="63"/>
      <c r="EC31" s="63"/>
      <c r="ED31" s="63"/>
    </row>
    <row r="32" spans="1:134" s="3" customFormat="1" ht="21.75" thickBot="1" x14ac:dyDescent="0.3">
      <c r="A32" s="18"/>
      <c r="B32" s="30" t="s">
        <v>32</v>
      </c>
      <c r="C32" s="31"/>
      <c r="D32" s="32">
        <v>0</v>
      </c>
      <c r="E32" s="82">
        <v>45387</v>
      </c>
      <c r="F32" s="83">
        <v>45387</v>
      </c>
      <c r="G32" s="24"/>
      <c r="H32" s="24">
        <f t="shared" si="16"/>
        <v>1</v>
      </c>
      <c r="I32" s="63"/>
      <c r="J32" s="63"/>
      <c r="K32" s="63"/>
      <c r="L32" s="63"/>
      <c r="M32" s="63"/>
      <c r="N32" s="63"/>
      <c r="O32" s="63"/>
      <c r="P32" s="63"/>
      <c r="Q32" s="63"/>
      <c r="R32" s="63"/>
      <c r="S32" s="63"/>
      <c r="T32" s="63"/>
      <c r="U32" s="63"/>
      <c r="V32" s="63"/>
      <c r="W32" s="63"/>
      <c r="X32" s="63"/>
      <c r="Y32" s="63"/>
      <c r="Z32" s="63"/>
      <c r="AA32" s="63"/>
      <c r="AB32" s="63"/>
      <c r="AC32" s="63"/>
      <c r="AD32" s="63"/>
      <c r="AE32" s="63"/>
      <c r="AF32" s="63"/>
      <c r="AG32" s="63"/>
      <c r="AH32" s="63"/>
      <c r="AI32" s="63"/>
      <c r="AJ32" s="63"/>
      <c r="AK32" s="63"/>
      <c r="AL32" s="63"/>
      <c r="AM32" s="63"/>
      <c r="AN32" s="63"/>
      <c r="AO32" s="63"/>
      <c r="AP32" s="63"/>
      <c r="AQ32" s="63"/>
      <c r="AR32" s="63"/>
      <c r="AS32" s="63"/>
      <c r="AT32" s="63"/>
      <c r="AU32" s="63"/>
      <c r="AV32" s="63"/>
      <c r="AW32" s="63"/>
      <c r="AX32" s="63"/>
      <c r="AY32" s="63"/>
      <c r="AZ32" s="63"/>
      <c r="BA32" s="63"/>
      <c r="BB32" s="63"/>
      <c r="BC32" s="63"/>
      <c r="BD32" s="63"/>
      <c r="BE32" s="63"/>
      <c r="BF32" s="63"/>
      <c r="BG32" s="63"/>
      <c r="BH32" s="63"/>
      <c r="BI32" s="63"/>
      <c r="BJ32" s="63"/>
      <c r="BK32" s="63"/>
      <c r="BL32" s="63"/>
      <c r="BM32" s="63"/>
      <c r="BN32" s="63"/>
      <c r="BO32" s="63"/>
      <c r="BP32" s="63"/>
      <c r="BQ32" s="63"/>
      <c r="BR32" s="63"/>
      <c r="BS32" s="63"/>
      <c r="BT32" s="63"/>
      <c r="BU32" s="63"/>
      <c r="BV32" s="63"/>
      <c r="BW32" s="63"/>
      <c r="BX32" s="63"/>
      <c r="BY32" s="63"/>
      <c r="BZ32" s="63"/>
      <c r="CA32" s="63"/>
      <c r="CB32" s="63"/>
      <c r="CC32" s="63"/>
      <c r="CD32" s="63"/>
      <c r="CE32" s="63"/>
      <c r="CF32" s="63"/>
      <c r="CG32" s="63"/>
      <c r="CH32" s="63"/>
      <c r="CI32" s="63"/>
      <c r="CJ32" s="63"/>
      <c r="CK32" s="63"/>
      <c r="CL32" s="63"/>
      <c r="CM32" s="63"/>
      <c r="CN32" s="63"/>
      <c r="CO32" s="63"/>
      <c r="CP32" s="63"/>
      <c r="CQ32" s="63"/>
      <c r="CR32" s="63"/>
      <c r="CS32" s="63"/>
      <c r="CT32" s="63"/>
      <c r="CU32" s="63"/>
      <c r="CV32" s="63"/>
      <c r="CW32" s="63"/>
      <c r="CX32" s="63"/>
      <c r="CY32" s="63"/>
      <c r="CZ32" s="63"/>
      <c r="DA32" s="63"/>
      <c r="DB32" s="63"/>
      <c r="DC32" s="63"/>
      <c r="DD32" s="63"/>
      <c r="DE32" s="63"/>
      <c r="DF32" s="63"/>
      <c r="DG32" s="63"/>
      <c r="DH32" s="63"/>
      <c r="DI32" s="63"/>
      <c r="DJ32" s="63"/>
      <c r="DK32" s="63"/>
      <c r="DL32" s="63"/>
      <c r="DM32" s="63"/>
      <c r="DN32" s="63"/>
      <c r="DO32" s="63"/>
      <c r="DP32" s="63"/>
      <c r="DQ32" s="63"/>
      <c r="DR32" s="63"/>
      <c r="DS32" s="63"/>
      <c r="DT32" s="63"/>
      <c r="DU32" s="63"/>
      <c r="DV32" s="63"/>
      <c r="DW32" s="63"/>
      <c r="DX32" s="63"/>
      <c r="DY32" s="63"/>
      <c r="DZ32" s="63"/>
      <c r="EA32" s="63"/>
      <c r="EB32" s="63"/>
      <c r="EC32" s="63"/>
      <c r="ED32" s="63"/>
    </row>
    <row r="33" spans="1:134" s="3" customFormat="1" ht="21.75" thickBot="1" x14ac:dyDescent="0.3">
      <c r="A33" s="18"/>
      <c r="B33" s="49" t="s">
        <v>34</v>
      </c>
      <c r="C33" s="50"/>
      <c r="D33" s="51"/>
      <c r="E33" s="52"/>
      <c r="F33" s="53"/>
      <c r="G33" s="24"/>
      <c r="H33" s="24" t="str">
        <f t="shared" si="16"/>
        <v/>
      </c>
      <c r="I33" s="63"/>
      <c r="J33" s="63"/>
      <c r="K33" s="63"/>
      <c r="L33" s="63"/>
      <c r="M33" s="63"/>
      <c r="N33" s="63"/>
      <c r="O33" s="63"/>
      <c r="P33" s="63"/>
      <c r="Q33" s="63"/>
      <c r="R33" s="63"/>
      <c r="S33" s="63"/>
      <c r="T33" s="63"/>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63"/>
      <c r="BA33" s="63"/>
      <c r="BB33" s="63"/>
      <c r="BC33" s="63"/>
      <c r="BD33" s="63"/>
      <c r="BE33" s="63"/>
      <c r="BF33" s="63"/>
      <c r="BG33" s="63"/>
      <c r="BH33" s="63"/>
      <c r="BI33" s="63"/>
      <c r="BJ33" s="63"/>
      <c r="BK33" s="63"/>
      <c r="BL33" s="63"/>
      <c r="BM33" s="63"/>
      <c r="BN33" s="63"/>
      <c r="BO33" s="63"/>
      <c r="BP33" s="63"/>
      <c r="BQ33" s="63"/>
      <c r="BR33" s="63"/>
      <c r="BS33" s="63"/>
      <c r="BT33" s="63"/>
      <c r="BU33" s="63"/>
      <c r="BV33" s="63"/>
      <c r="BW33" s="63"/>
      <c r="BX33" s="63"/>
      <c r="BY33" s="63"/>
      <c r="BZ33" s="63"/>
      <c r="CA33" s="63"/>
      <c r="CB33" s="63"/>
      <c r="CC33" s="63"/>
      <c r="CD33" s="63"/>
      <c r="CE33" s="63"/>
      <c r="CF33" s="63"/>
      <c r="CG33" s="63"/>
      <c r="CH33" s="63"/>
      <c r="CI33" s="63"/>
      <c r="CJ33" s="63"/>
      <c r="CK33" s="63"/>
      <c r="CL33" s="63"/>
      <c r="CM33" s="63"/>
      <c r="CN33" s="63"/>
      <c r="CO33" s="63"/>
      <c r="CP33" s="63"/>
      <c r="CQ33" s="63"/>
      <c r="CR33" s="63"/>
      <c r="CS33" s="63"/>
      <c r="CT33" s="63"/>
      <c r="CU33" s="63"/>
      <c r="CV33" s="63"/>
      <c r="CW33" s="63"/>
      <c r="CX33" s="63"/>
      <c r="CY33" s="63"/>
      <c r="CZ33" s="63"/>
      <c r="DA33" s="63"/>
      <c r="DB33" s="63"/>
      <c r="DC33" s="63"/>
      <c r="DD33" s="63"/>
      <c r="DE33" s="63"/>
      <c r="DF33" s="63"/>
      <c r="DG33" s="63"/>
      <c r="DH33" s="63"/>
      <c r="DI33" s="63"/>
      <c r="DJ33" s="63"/>
      <c r="DK33" s="63"/>
      <c r="DL33" s="63"/>
      <c r="DM33" s="63"/>
      <c r="DN33" s="63"/>
      <c r="DO33" s="63"/>
      <c r="DP33" s="63"/>
      <c r="DQ33" s="63"/>
      <c r="DR33" s="63"/>
      <c r="DS33" s="63"/>
      <c r="DT33" s="63"/>
      <c r="DU33" s="63"/>
      <c r="DV33" s="63"/>
      <c r="DW33" s="63"/>
      <c r="DX33" s="63"/>
      <c r="DY33" s="63"/>
      <c r="DZ33" s="63"/>
      <c r="EA33" s="63"/>
      <c r="EB33" s="63"/>
      <c r="EC33" s="63"/>
      <c r="ED33" s="63"/>
    </row>
    <row r="34" spans="1:134" s="3" customFormat="1" ht="21.75" thickBot="1" x14ac:dyDescent="0.3">
      <c r="A34" s="18"/>
      <c r="B34" s="54" t="s">
        <v>35</v>
      </c>
      <c r="C34" s="55"/>
      <c r="D34" s="56">
        <v>0</v>
      </c>
      <c r="E34" s="87">
        <v>45378</v>
      </c>
      <c r="F34" s="88">
        <v>45379</v>
      </c>
      <c r="G34" s="24"/>
      <c r="H34" s="24">
        <f t="shared" si="16"/>
        <v>2</v>
      </c>
      <c r="I34" s="63"/>
      <c r="J34" s="63"/>
      <c r="K34" s="63"/>
      <c r="L34" s="63"/>
      <c r="M34" s="63"/>
      <c r="N34" s="63"/>
      <c r="O34" s="63"/>
      <c r="P34" s="63"/>
      <c r="Q34" s="63"/>
      <c r="R34" s="63"/>
      <c r="S34" s="63"/>
      <c r="T34" s="63"/>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63"/>
      <c r="BA34" s="63"/>
      <c r="BB34" s="63"/>
      <c r="BC34" s="63"/>
      <c r="BD34" s="63"/>
      <c r="BE34" s="63"/>
      <c r="BF34" s="63"/>
      <c r="BG34" s="63"/>
      <c r="BH34" s="63"/>
      <c r="BI34" s="63"/>
      <c r="BJ34" s="63"/>
      <c r="BK34" s="63"/>
      <c r="BL34" s="63"/>
      <c r="BM34" s="63"/>
      <c r="BN34" s="63"/>
      <c r="BO34" s="63"/>
      <c r="BP34" s="63"/>
      <c r="BQ34" s="63"/>
      <c r="BR34" s="63"/>
      <c r="BS34" s="63"/>
      <c r="BT34" s="63"/>
      <c r="BU34" s="63"/>
      <c r="BV34" s="63"/>
      <c r="BW34" s="63"/>
      <c r="BX34" s="63"/>
      <c r="BY34" s="63"/>
      <c r="BZ34" s="63"/>
      <c r="CA34" s="63"/>
      <c r="CB34" s="63"/>
      <c r="CC34" s="63"/>
      <c r="CD34" s="63"/>
      <c r="CE34" s="63"/>
      <c r="CF34" s="63"/>
      <c r="CG34" s="63"/>
      <c r="CH34" s="63"/>
      <c r="CI34" s="63"/>
      <c r="CJ34" s="63"/>
      <c r="CK34" s="63"/>
      <c r="CL34" s="63"/>
      <c r="CM34" s="63"/>
      <c r="CN34" s="63"/>
      <c r="CO34" s="63"/>
      <c r="CP34" s="63"/>
      <c r="CQ34" s="63"/>
      <c r="CR34" s="63"/>
      <c r="CS34" s="63"/>
      <c r="CT34" s="63"/>
      <c r="CU34" s="63"/>
      <c r="CV34" s="63"/>
      <c r="CW34" s="63"/>
      <c r="CX34" s="63"/>
      <c r="CY34" s="63"/>
      <c r="CZ34" s="63"/>
      <c r="DA34" s="63"/>
      <c r="DB34" s="63"/>
      <c r="DC34" s="63"/>
      <c r="DD34" s="63"/>
      <c r="DE34" s="63"/>
      <c r="DF34" s="63"/>
      <c r="DG34" s="63"/>
      <c r="DH34" s="63"/>
      <c r="DI34" s="63"/>
      <c r="DJ34" s="63"/>
      <c r="DK34" s="63"/>
      <c r="DL34" s="63"/>
      <c r="DM34" s="63"/>
      <c r="DN34" s="63"/>
      <c r="DO34" s="63"/>
      <c r="DP34" s="63"/>
      <c r="DQ34" s="63"/>
      <c r="DR34" s="63"/>
      <c r="DS34" s="63"/>
      <c r="DT34" s="63"/>
      <c r="DU34" s="63"/>
      <c r="DV34" s="63"/>
      <c r="DW34" s="63"/>
      <c r="DX34" s="63"/>
      <c r="DY34" s="63"/>
      <c r="DZ34" s="63"/>
      <c r="EA34" s="63"/>
      <c r="EB34" s="63"/>
      <c r="EC34" s="63"/>
      <c r="ED34" s="63"/>
    </row>
    <row r="35" spans="1:134" s="3" customFormat="1" ht="21.75" thickBot="1" x14ac:dyDescent="0.3">
      <c r="A35" s="18"/>
      <c r="B35" s="54" t="s">
        <v>36</v>
      </c>
      <c r="C35" s="55"/>
      <c r="D35" s="56">
        <v>0</v>
      </c>
      <c r="E35" s="87">
        <v>45380</v>
      </c>
      <c r="F35" s="88">
        <v>45381</v>
      </c>
      <c r="G35" s="24"/>
      <c r="H35" s="24">
        <f t="shared" si="16"/>
        <v>2</v>
      </c>
      <c r="I35" s="63"/>
      <c r="J35" s="63"/>
      <c r="K35" s="63"/>
      <c r="L35" s="63"/>
      <c r="M35" s="63"/>
      <c r="N35" s="63"/>
      <c r="O35" s="63"/>
      <c r="P35" s="63"/>
      <c r="Q35" s="63"/>
      <c r="R35" s="63"/>
      <c r="S35" s="63"/>
      <c r="T35" s="63"/>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63"/>
      <c r="BA35" s="63"/>
      <c r="BB35" s="63"/>
      <c r="BC35" s="63"/>
      <c r="BD35" s="63"/>
      <c r="BE35" s="63"/>
      <c r="BF35" s="63"/>
      <c r="BG35" s="63"/>
      <c r="BH35" s="63"/>
      <c r="BI35" s="63"/>
      <c r="BJ35" s="63"/>
      <c r="BK35" s="63"/>
      <c r="BL35" s="63"/>
      <c r="BM35" s="63"/>
      <c r="BN35" s="63"/>
      <c r="BO35" s="63"/>
      <c r="BP35" s="63"/>
      <c r="BQ35" s="63"/>
      <c r="BR35" s="63"/>
      <c r="BS35" s="63"/>
      <c r="BT35" s="63"/>
      <c r="BU35" s="63"/>
      <c r="BV35" s="63"/>
      <c r="BW35" s="63"/>
      <c r="BX35" s="63"/>
      <c r="BY35" s="63"/>
      <c r="BZ35" s="63"/>
      <c r="CA35" s="63"/>
      <c r="CB35" s="63"/>
      <c r="CC35" s="63"/>
      <c r="CD35" s="63"/>
      <c r="CE35" s="63"/>
      <c r="CF35" s="63"/>
      <c r="CG35" s="63"/>
      <c r="CH35" s="63"/>
      <c r="CI35" s="63"/>
      <c r="CJ35" s="63"/>
      <c r="CK35" s="63"/>
      <c r="CL35" s="63"/>
      <c r="CM35" s="63"/>
      <c r="CN35" s="63"/>
      <c r="CO35" s="63"/>
      <c r="CP35" s="63"/>
      <c r="CQ35" s="63"/>
      <c r="CR35" s="63"/>
      <c r="CS35" s="63"/>
      <c r="CT35" s="63"/>
      <c r="CU35" s="63"/>
      <c r="CV35" s="63"/>
      <c r="CW35" s="63"/>
      <c r="CX35" s="63"/>
      <c r="CY35" s="63"/>
      <c r="CZ35" s="63"/>
      <c r="DA35" s="63"/>
      <c r="DB35" s="63"/>
      <c r="DC35" s="63"/>
      <c r="DD35" s="63"/>
      <c r="DE35" s="63"/>
      <c r="DF35" s="63"/>
      <c r="DG35" s="63"/>
      <c r="DH35" s="63"/>
      <c r="DI35" s="63"/>
      <c r="DJ35" s="63"/>
      <c r="DK35" s="63"/>
      <c r="DL35" s="63"/>
      <c r="DM35" s="63"/>
      <c r="DN35" s="63"/>
      <c r="DO35" s="63"/>
      <c r="DP35" s="63"/>
      <c r="DQ35" s="63"/>
      <c r="DR35" s="63"/>
      <c r="DS35" s="63"/>
      <c r="DT35" s="63"/>
      <c r="DU35" s="63"/>
      <c r="DV35" s="63"/>
      <c r="DW35" s="63"/>
      <c r="DX35" s="63"/>
      <c r="DY35" s="63"/>
      <c r="DZ35" s="63"/>
      <c r="EA35" s="63"/>
      <c r="EB35" s="63"/>
      <c r="EC35" s="63"/>
      <c r="ED35" s="63"/>
    </row>
    <row r="36" spans="1:134" s="3" customFormat="1" ht="21.75" thickBot="1" x14ac:dyDescent="0.3">
      <c r="A36" s="18"/>
      <c r="B36" s="54" t="s">
        <v>37</v>
      </c>
      <c r="C36" s="55"/>
      <c r="D36" s="56">
        <v>0</v>
      </c>
      <c r="E36" s="87">
        <v>45390</v>
      </c>
      <c r="F36" s="88">
        <v>45390</v>
      </c>
      <c r="G36" s="24"/>
      <c r="H36" s="24">
        <f t="shared" si="16"/>
        <v>1</v>
      </c>
      <c r="I36" s="63"/>
      <c r="J36" s="63"/>
      <c r="K36" s="63"/>
      <c r="L36" s="63"/>
      <c r="M36" s="63"/>
      <c r="N36" s="63"/>
      <c r="O36" s="63"/>
      <c r="P36" s="63"/>
      <c r="Q36" s="63"/>
      <c r="R36" s="63"/>
      <c r="S36" s="63"/>
      <c r="T36" s="63"/>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63"/>
      <c r="BA36" s="63"/>
      <c r="BB36" s="63"/>
      <c r="BC36" s="63"/>
      <c r="BD36" s="63"/>
      <c r="BE36" s="63"/>
      <c r="BF36" s="63"/>
      <c r="BG36" s="63"/>
      <c r="BH36" s="63"/>
      <c r="BI36" s="63"/>
      <c r="BJ36" s="63"/>
      <c r="BK36" s="63"/>
      <c r="BL36" s="63"/>
      <c r="BM36" s="63"/>
      <c r="BN36" s="63"/>
      <c r="BO36" s="63"/>
      <c r="BP36" s="63"/>
      <c r="BQ36" s="63"/>
      <c r="BR36" s="63"/>
      <c r="BS36" s="63"/>
      <c r="BT36" s="63"/>
      <c r="BU36" s="63"/>
      <c r="BV36" s="63"/>
      <c r="BW36" s="63"/>
      <c r="BX36" s="63"/>
      <c r="BY36" s="63"/>
      <c r="BZ36" s="63"/>
      <c r="CA36" s="63"/>
      <c r="CB36" s="63"/>
      <c r="CC36" s="63"/>
      <c r="CD36" s="63"/>
      <c r="CE36" s="63"/>
      <c r="CF36" s="63"/>
      <c r="CG36" s="63"/>
      <c r="CH36" s="63"/>
      <c r="CI36" s="63"/>
      <c r="CJ36" s="63"/>
      <c r="CK36" s="63"/>
      <c r="CL36" s="63"/>
      <c r="CM36" s="63"/>
      <c r="CN36" s="63"/>
      <c r="CO36" s="63"/>
      <c r="CP36" s="63"/>
      <c r="CQ36" s="63"/>
      <c r="CR36" s="63"/>
      <c r="CS36" s="63"/>
      <c r="CT36" s="63"/>
      <c r="CU36" s="63"/>
      <c r="CV36" s="63"/>
      <c r="CW36" s="63"/>
      <c r="CX36" s="63"/>
      <c r="CY36" s="63"/>
      <c r="CZ36" s="63"/>
      <c r="DA36" s="63"/>
      <c r="DB36" s="63"/>
      <c r="DC36" s="63"/>
      <c r="DD36" s="63"/>
      <c r="DE36" s="63"/>
      <c r="DF36" s="63"/>
      <c r="DG36" s="63"/>
      <c r="DH36" s="63"/>
      <c r="DI36" s="63"/>
      <c r="DJ36" s="63"/>
      <c r="DK36" s="63"/>
      <c r="DL36" s="63"/>
      <c r="DM36" s="63"/>
      <c r="DN36" s="63"/>
      <c r="DO36" s="63"/>
      <c r="DP36" s="63"/>
      <c r="DQ36" s="63"/>
      <c r="DR36" s="63"/>
      <c r="DS36" s="63"/>
      <c r="DT36" s="63"/>
      <c r="DU36" s="63"/>
      <c r="DV36" s="63"/>
      <c r="DW36" s="63"/>
      <c r="DX36" s="63"/>
      <c r="DY36" s="63"/>
      <c r="DZ36" s="63"/>
      <c r="EA36" s="63"/>
      <c r="EB36" s="63"/>
      <c r="EC36" s="63"/>
      <c r="ED36" s="63"/>
    </row>
    <row r="37" spans="1:134" s="3" customFormat="1" ht="21.75" thickBot="1" x14ac:dyDescent="0.3">
      <c r="A37" s="18"/>
      <c r="B37" s="54" t="s">
        <v>38</v>
      </c>
      <c r="C37" s="55"/>
      <c r="D37" s="56">
        <v>0</v>
      </c>
      <c r="E37" s="87">
        <v>45391</v>
      </c>
      <c r="F37" s="88">
        <v>45394</v>
      </c>
      <c r="G37" s="24"/>
      <c r="H37" s="24">
        <f t="shared" si="16"/>
        <v>4</v>
      </c>
      <c r="I37" s="63"/>
      <c r="J37" s="63"/>
      <c r="K37" s="63"/>
      <c r="L37" s="63"/>
      <c r="M37" s="63"/>
      <c r="N37" s="63"/>
      <c r="O37" s="63"/>
      <c r="P37" s="63"/>
      <c r="Q37" s="63"/>
      <c r="R37" s="63"/>
      <c r="S37" s="63"/>
      <c r="T37" s="63"/>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63"/>
      <c r="BA37" s="63"/>
      <c r="BB37" s="63"/>
      <c r="BC37" s="63"/>
      <c r="BD37" s="63"/>
      <c r="BE37" s="63"/>
      <c r="BF37" s="63"/>
      <c r="BG37" s="63"/>
      <c r="BH37" s="63"/>
      <c r="BI37" s="63"/>
      <c r="BJ37" s="63"/>
      <c r="BK37" s="63"/>
      <c r="BL37" s="63"/>
      <c r="BM37" s="63"/>
      <c r="BN37" s="63"/>
      <c r="BO37" s="63"/>
      <c r="BP37" s="63"/>
      <c r="BQ37" s="63"/>
      <c r="BR37" s="63"/>
      <c r="BS37" s="63"/>
      <c r="BT37" s="63"/>
      <c r="BU37" s="63"/>
      <c r="BV37" s="63"/>
      <c r="BW37" s="63"/>
      <c r="BX37" s="63"/>
      <c r="BY37" s="63"/>
      <c r="BZ37" s="63"/>
      <c r="CA37" s="63"/>
      <c r="CB37" s="63"/>
      <c r="CC37" s="63"/>
      <c r="CD37" s="63"/>
      <c r="CE37" s="63"/>
      <c r="CF37" s="63"/>
      <c r="CG37" s="63"/>
      <c r="CH37" s="63"/>
      <c r="CI37" s="63"/>
      <c r="CJ37" s="63"/>
      <c r="CK37" s="63"/>
      <c r="CL37" s="63"/>
      <c r="CM37" s="63"/>
      <c r="CN37" s="63"/>
      <c r="CO37" s="63"/>
      <c r="CP37" s="63"/>
      <c r="CQ37" s="63"/>
      <c r="CR37" s="63"/>
      <c r="CS37" s="63"/>
      <c r="CT37" s="63"/>
      <c r="CU37" s="63"/>
      <c r="CV37" s="63"/>
      <c r="CW37" s="63"/>
      <c r="CX37" s="63"/>
      <c r="CY37" s="63"/>
      <c r="CZ37" s="63"/>
      <c r="DA37" s="63"/>
      <c r="DB37" s="63"/>
      <c r="DC37" s="63"/>
      <c r="DD37" s="63"/>
      <c r="DE37" s="63"/>
      <c r="DF37" s="63"/>
      <c r="DG37" s="63"/>
      <c r="DH37" s="63"/>
      <c r="DI37" s="63"/>
      <c r="DJ37" s="63"/>
      <c r="DK37" s="63"/>
      <c r="DL37" s="63"/>
      <c r="DM37" s="63"/>
      <c r="DN37" s="63"/>
      <c r="DO37" s="63"/>
      <c r="DP37" s="63"/>
      <c r="DQ37" s="63"/>
      <c r="DR37" s="63"/>
      <c r="DS37" s="63"/>
      <c r="DT37" s="63"/>
      <c r="DU37" s="63"/>
      <c r="DV37" s="63"/>
      <c r="DW37" s="63"/>
      <c r="DX37" s="63"/>
      <c r="DY37" s="63"/>
      <c r="DZ37" s="63"/>
      <c r="EA37" s="63"/>
      <c r="EB37" s="63"/>
      <c r="EC37" s="63"/>
      <c r="ED37" s="63"/>
    </row>
    <row r="38" spans="1:134" s="3" customFormat="1" ht="21.75" thickBot="1" x14ac:dyDescent="0.3">
      <c r="A38" s="18"/>
      <c r="B38" s="54" t="s">
        <v>39</v>
      </c>
      <c r="C38" s="55"/>
      <c r="D38" s="56">
        <v>0</v>
      </c>
      <c r="E38" s="87">
        <v>45394</v>
      </c>
      <c r="F38" s="88">
        <v>45400</v>
      </c>
      <c r="G38" s="24"/>
      <c r="H38" s="24">
        <f t="shared" si="16"/>
        <v>7</v>
      </c>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63"/>
      <c r="BA38" s="63"/>
      <c r="BB38" s="63"/>
      <c r="BC38" s="63"/>
      <c r="BD38" s="63"/>
      <c r="BE38" s="63"/>
      <c r="BF38" s="63"/>
      <c r="BG38" s="63"/>
      <c r="BH38" s="63"/>
      <c r="BI38" s="63"/>
      <c r="BJ38" s="63"/>
      <c r="BK38" s="63"/>
      <c r="BL38" s="63"/>
      <c r="BM38" s="63"/>
      <c r="BN38" s="63"/>
      <c r="BO38" s="63"/>
      <c r="BP38" s="63"/>
      <c r="BQ38" s="63"/>
      <c r="BR38" s="63"/>
      <c r="BS38" s="63"/>
      <c r="BT38" s="63"/>
      <c r="BU38" s="63"/>
      <c r="BV38" s="63"/>
      <c r="BW38" s="63"/>
      <c r="BX38" s="63"/>
      <c r="BY38" s="63"/>
      <c r="BZ38" s="63"/>
      <c r="CA38" s="63"/>
      <c r="CB38" s="63"/>
      <c r="CC38" s="63"/>
      <c r="CD38" s="63"/>
      <c r="CE38" s="63"/>
      <c r="CF38" s="63"/>
      <c r="CG38" s="63"/>
      <c r="CH38" s="63"/>
      <c r="CI38" s="63"/>
      <c r="CJ38" s="63"/>
      <c r="CK38" s="63"/>
      <c r="CL38" s="63"/>
      <c r="CM38" s="63"/>
      <c r="CN38" s="63"/>
      <c r="CO38" s="63"/>
      <c r="CP38" s="63"/>
      <c r="CQ38" s="63"/>
      <c r="CR38" s="63"/>
      <c r="CS38" s="63"/>
      <c r="CT38" s="63"/>
      <c r="CU38" s="63"/>
      <c r="CV38" s="63"/>
      <c r="CW38" s="63"/>
      <c r="CX38" s="63"/>
      <c r="CY38" s="63"/>
      <c r="CZ38" s="63"/>
      <c r="DA38" s="63"/>
      <c r="DB38" s="63"/>
      <c r="DC38" s="63"/>
      <c r="DD38" s="63"/>
      <c r="DE38" s="63"/>
      <c r="DF38" s="63"/>
      <c r="DG38" s="63"/>
      <c r="DH38" s="63"/>
      <c r="DI38" s="63"/>
      <c r="DJ38" s="63"/>
      <c r="DK38" s="63"/>
      <c r="DL38" s="63"/>
      <c r="DM38" s="63"/>
      <c r="DN38" s="63"/>
      <c r="DO38" s="63"/>
      <c r="DP38" s="63"/>
      <c r="DQ38" s="63"/>
      <c r="DR38" s="63"/>
      <c r="DS38" s="63"/>
      <c r="DT38" s="63"/>
      <c r="DU38" s="63"/>
      <c r="DV38" s="63"/>
      <c r="DW38" s="63"/>
      <c r="DX38" s="63"/>
      <c r="DY38" s="63"/>
      <c r="DZ38" s="63"/>
      <c r="EA38" s="63"/>
      <c r="EB38" s="63"/>
      <c r="EC38" s="63"/>
      <c r="ED38" s="63"/>
    </row>
    <row r="39" spans="1:134" s="3" customFormat="1" ht="21.75" thickBot="1" x14ac:dyDescent="0.3">
      <c r="A39" s="18"/>
      <c r="B39" s="19"/>
      <c r="C39" s="20"/>
      <c r="D39" s="21"/>
      <c r="E39" s="22"/>
      <c r="F39" s="23"/>
      <c r="G39" s="24"/>
      <c r="H39" s="24" t="str">
        <f t="shared" si="16"/>
        <v/>
      </c>
      <c r="I39" s="63"/>
      <c r="J39" s="63"/>
      <c r="K39" s="63"/>
      <c r="L39" s="63"/>
      <c r="M39" s="63"/>
      <c r="N39" s="63"/>
      <c r="O39" s="63"/>
      <c r="P39" s="63"/>
      <c r="Q39" s="63"/>
      <c r="R39" s="63"/>
      <c r="S39" s="63"/>
      <c r="T39" s="63"/>
      <c r="U39" s="63"/>
      <c r="V39" s="63"/>
      <c r="W39" s="63"/>
      <c r="X39" s="63"/>
      <c r="Y39" s="63"/>
      <c r="Z39" s="63"/>
      <c r="AA39" s="63"/>
      <c r="AB39" s="63"/>
      <c r="AC39" s="63"/>
      <c r="AD39" s="63"/>
      <c r="AE39" s="63"/>
      <c r="AF39" s="63"/>
      <c r="AG39" s="63"/>
      <c r="AH39" s="63"/>
      <c r="AI39" s="63"/>
      <c r="AJ39" s="63"/>
      <c r="AK39" s="63"/>
      <c r="AL39" s="63"/>
      <c r="AM39" s="63"/>
      <c r="AN39" s="63"/>
      <c r="AO39" s="63"/>
      <c r="AP39" s="63"/>
      <c r="AQ39" s="63"/>
      <c r="AR39" s="63"/>
      <c r="AS39" s="63"/>
      <c r="AT39" s="63"/>
      <c r="AU39" s="63"/>
      <c r="AV39" s="63"/>
      <c r="AW39" s="63"/>
      <c r="AX39" s="63"/>
      <c r="AY39" s="63"/>
      <c r="AZ39" s="63"/>
      <c r="BA39" s="63"/>
      <c r="BB39" s="63"/>
      <c r="BC39" s="63"/>
      <c r="BD39" s="63"/>
      <c r="BE39" s="63"/>
      <c r="BF39" s="63"/>
      <c r="BG39" s="63"/>
      <c r="BH39" s="63"/>
      <c r="BI39" s="63"/>
      <c r="BJ39" s="63"/>
      <c r="BK39" s="63"/>
      <c r="BL39" s="63"/>
      <c r="BM39" s="63"/>
      <c r="BN39" s="63"/>
      <c r="BO39" s="63"/>
      <c r="BP39" s="63"/>
      <c r="BQ39" s="63"/>
      <c r="BR39" s="63"/>
      <c r="BS39" s="63"/>
      <c r="BT39" s="63"/>
      <c r="BU39" s="63"/>
      <c r="BV39" s="63"/>
      <c r="BW39" s="63"/>
      <c r="BX39" s="63"/>
      <c r="BY39" s="63"/>
      <c r="BZ39" s="63"/>
      <c r="CA39" s="63"/>
      <c r="CB39" s="63"/>
      <c r="CC39" s="63"/>
      <c r="CD39" s="63"/>
      <c r="CE39" s="63"/>
      <c r="CF39" s="63"/>
      <c r="CG39" s="63"/>
      <c r="CH39" s="63"/>
      <c r="CI39" s="63"/>
      <c r="CJ39" s="63"/>
      <c r="CK39" s="63"/>
      <c r="CL39" s="63"/>
      <c r="CM39" s="63"/>
      <c r="CN39" s="63"/>
      <c r="CO39" s="63"/>
      <c r="CP39" s="63"/>
      <c r="CQ39" s="63"/>
      <c r="CR39" s="63"/>
      <c r="CS39" s="63"/>
      <c r="CT39" s="63"/>
      <c r="CU39" s="63"/>
      <c r="CV39" s="63"/>
      <c r="CW39" s="63"/>
      <c r="CX39" s="63"/>
      <c r="CY39" s="63"/>
      <c r="CZ39" s="63"/>
      <c r="DA39" s="63"/>
      <c r="DB39" s="63"/>
      <c r="DC39" s="63"/>
      <c r="DD39" s="63"/>
      <c r="DE39" s="63"/>
      <c r="DF39" s="63"/>
      <c r="DG39" s="63"/>
      <c r="DH39" s="63"/>
      <c r="DI39" s="63"/>
      <c r="DJ39" s="63"/>
      <c r="DK39" s="63"/>
      <c r="DL39" s="63"/>
      <c r="DM39" s="63"/>
      <c r="DN39" s="63"/>
      <c r="DO39" s="63"/>
      <c r="DP39" s="63"/>
      <c r="DQ39" s="63"/>
      <c r="DR39" s="63"/>
      <c r="DS39" s="63"/>
      <c r="DT39" s="63"/>
      <c r="DU39" s="63"/>
      <c r="DV39" s="63"/>
      <c r="DW39" s="63"/>
      <c r="DX39" s="63"/>
      <c r="DY39" s="63"/>
      <c r="DZ39" s="63"/>
      <c r="EA39" s="63"/>
      <c r="EB39" s="63"/>
      <c r="EC39" s="63"/>
      <c r="ED39" s="63"/>
    </row>
    <row r="40" spans="1:134" s="3" customFormat="1" ht="21.75" thickBot="1" x14ac:dyDescent="0.3">
      <c r="A40" s="18"/>
      <c r="B40" s="19"/>
      <c r="C40" s="20"/>
      <c r="D40" s="21"/>
      <c r="E40" s="22"/>
      <c r="F40" s="23"/>
      <c r="G40" s="24"/>
      <c r="H40" s="24" t="str">
        <f t="shared" si="16"/>
        <v/>
      </c>
      <c r="I40" s="63"/>
      <c r="J40" s="63"/>
      <c r="K40" s="63"/>
      <c r="L40" s="63"/>
      <c r="M40" s="63"/>
      <c r="N40" s="63"/>
      <c r="O40" s="63"/>
      <c r="P40" s="63"/>
      <c r="Q40" s="63"/>
      <c r="R40" s="63"/>
      <c r="S40" s="63"/>
      <c r="T40" s="63"/>
      <c r="U40" s="63"/>
      <c r="V40" s="63"/>
      <c r="W40" s="63"/>
      <c r="X40" s="63"/>
      <c r="Y40" s="63"/>
      <c r="Z40" s="63"/>
      <c r="AA40" s="63"/>
      <c r="AB40" s="63"/>
      <c r="AC40" s="63"/>
      <c r="AD40" s="63"/>
      <c r="AE40" s="63"/>
      <c r="AF40" s="63"/>
      <c r="AG40" s="63"/>
      <c r="AH40" s="63"/>
      <c r="AI40" s="63"/>
      <c r="AJ40" s="63"/>
      <c r="AK40" s="63"/>
      <c r="AL40" s="63"/>
      <c r="AM40" s="63"/>
      <c r="AN40" s="63"/>
      <c r="AO40" s="63"/>
      <c r="AP40" s="63"/>
      <c r="AQ40" s="63"/>
      <c r="AR40" s="63"/>
      <c r="AS40" s="63"/>
      <c r="AT40" s="63"/>
      <c r="AU40" s="63"/>
      <c r="AV40" s="63"/>
      <c r="AW40" s="63"/>
      <c r="AX40" s="63"/>
      <c r="AY40" s="63"/>
      <c r="AZ40" s="63"/>
      <c r="BA40" s="63"/>
      <c r="BB40" s="63"/>
      <c r="BC40" s="63"/>
      <c r="BD40" s="63"/>
      <c r="BE40" s="63"/>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c r="CR40" s="63"/>
      <c r="CS40" s="63"/>
      <c r="CT40" s="63"/>
      <c r="CU40" s="63"/>
      <c r="CV40" s="63"/>
      <c r="CW40" s="63"/>
      <c r="CX40" s="63"/>
      <c r="CY40" s="63"/>
      <c r="CZ40" s="63"/>
      <c r="DA40" s="63"/>
      <c r="DB40" s="63"/>
      <c r="DC40" s="63"/>
      <c r="DD40" s="63"/>
      <c r="DE40" s="63"/>
      <c r="DF40" s="63"/>
      <c r="DG40" s="63"/>
      <c r="DH40" s="63"/>
      <c r="DI40" s="63"/>
      <c r="DJ40" s="63"/>
      <c r="DK40" s="63"/>
      <c r="DL40" s="63"/>
      <c r="DM40" s="63"/>
      <c r="DN40" s="63"/>
      <c r="DO40" s="63"/>
      <c r="DP40" s="63"/>
      <c r="DQ40" s="63"/>
      <c r="DR40" s="63"/>
      <c r="DS40" s="63"/>
      <c r="DT40" s="63"/>
      <c r="DU40" s="63"/>
      <c r="DV40" s="63"/>
      <c r="DW40" s="63"/>
      <c r="DX40" s="63"/>
      <c r="DY40" s="63"/>
      <c r="DZ40" s="63"/>
      <c r="EA40" s="63"/>
      <c r="EB40" s="63"/>
      <c r="EC40" s="63"/>
      <c r="ED40" s="63"/>
    </row>
    <row r="41" spans="1:134" s="3" customFormat="1" ht="21.75" thickBot="1" x14ac:dyDescent="0.3">
      <c r="A41" s="18"/>
      <c r="B41" s="19"/>
      <c r="C41" s="20"/>
      <c r="D41" s="21"/>
      <c r="E41" s="22"/>
      <c r="F41" s="23"/>
      <c r="G41" s="24"/>
      <c r="H41" s="24" t="str">
        <f t="shared" si="16"/>
        <v/>
      </c>
      <c r="I41" s="63"/>
      <c r="J41" s="63"/>
      <c r="K41" s="63"/>
      <c r="L41" s="63"/>
      <c r="M41" s="63"/>
      <c r="N41" s="63"/>
      <c r="O41" s="63"/>
      <c r="P41" s="63"/>
      <c r="Q41" s="63"/>
      <c r="R41" s="63"/>
      <c r="S41" s="63"/>
      <c r="T41" s="63"/>
      <c r="U41" s="63"/>
      <c r="V41" s="63"/>
      <c r="W41" s="63"/>
      <c r="X41" s="63"/>
      <c r="Y41" s="63"/>
      <c r="Z41" s="63"/>
      <c r="AA41" s="63"/>
      <c r="AB41" s="63"/>
      <c r="AC41" s="63"/>
      <c r="AD41" s="63"/>
      <c r="AE41" s="63"/>
      <c r="AF41" s="63"/>
      <c r="AG41" s="63"/>
      <c r="AH41" s="63"/>
      <c r="AI41" s="63"/>
      <c r="AJ41" s="63"/>
      <c r="AK41" s="63"/>
      <c r="AL41" s="63"/>
      <c r="AM41" s="63"/>
      <c r="AN41" s="63"/>
      <c r="AO41" s="63"/>
      <c r="AP41" s="63"/>
      <c r="AQ41" s="63"/>
      <c r="AR41" s="63"/>
      <c r="AS41" s="63"/>
      <c r="AT41" s="63"/>
      <c r="AU41" s="63"/>
      <c r="AV41" s="63"/>
      <c r="AW41" s="63"/>
      <c r="AX41" s="63"/>
      <c r="AY41" s="63"/>
      <c r="AZ41" s="63"/>
      <c r="BA41" s="63"/>
      <c r="BB41" s="63"/>
      <c r="BC41" s="63"/>
      <c r="BD41" s="63"/>
      <c r="BE41" s="63"/>
      <c r="BF41" s="63"/>
      <c r="BG41" s="63"/>
      <c r="BH41" s="63"/>
      <c r="BI41" s="63"/>
      <c r="BJ41" s="63"/>
      <c r="BK41" s="63"/>
      <c r="BL41" s="63"/>
      <c r="BM41" s="63"/>
      <c r="BN41" s="63"/>
      <c r="BO41" s="63"/>
      <c r="BP41" s="63"/>
      <c r="BQ41" s="63"/>
      <c r="BR41" s="63"/>
      <c r="BS41" s="63"/>
      <c r="BT41" s="63"/>
      <c r="BU41" s="63"/>
      <c r="BV41" s="63"/>
      <c r="BW41" s="63"/>
      <c r="BX41" s="63"/>
      <c r="BY41" s="63"/>
      <c r="BZ41" s="63"/>
      <c r="CA41" s="63"/>
      <c r="CB41" s="63"/>
      <c r="CC41" s="63"/>
      <c r="CD41" s="63"/>
      <c r="CE41" s="63"/>
      <c r="CF41" s="63"/>
      <c r="CG41" s="63"/>
      <c r="CH41" s="63"/>
      <c r="CI41" s="63"/>
      <c r="CJ41" s="63"/>
      <c r="CK41" s="63"/>
      <c r="CL41" s="63"/>
      <c r="CM41" s="63"/>
      <c r="CN41" s="63"/>
      <c r="CO41" s="63"/>
      <c r="CP41" s="63"/>
      <c r="CQ41" s="63"/>
      <c r="CR41" s="63"/>
      <c r="CS41" s="63"/>
      <c r="CT41" s="63"/>
      <c r="CU41" s="63"/>
      <c r="CV41" s="63"/>
      <c r="CW41" s="63"/>
      <c r="CX41" s="63"/>
      <c r="CY41" s="63"/>
      <c r="CZ41" s="63"/>
      <c r="DA41" s="63"/>
      <c r="DB41" s="63"/>
      <c r="DC41" s="63"/>
      <c r="DD41" s="63"/>
      <c r="DE41" s="63"/>
      <c r="DF41" s="63"/>
      <c r="DG41" s="63"/>
      <c r="DH41" s="63"/>
      <c r="DI41" s="63"/>
      <c r="DJ41" s="63"/>
      <c r="DK41" s="63"/>
      <c r="DL41" s="63"/>
      <c r="DM41" s="63"/>
      <c r="DN41" s="63"/>
      <c r="DO41" s="63"/>
      <c r="DP41" s="63"/>
      <c r="DQ41" s="63"/>
      <c r="DR41" s="63"/>
      <c r="DS41" s="63"/>
      <c r="DT41" s="63"/>
      <c r="DU41" s="63"/>
      <c r="DV41" s="63"/>
      <c r="DW41" s="63"/>
      <c r="DX41" s="63"/>
      <c r="DY41" s="63"/>
      <c r="DZ41" s="63"/>
      <c r="EA41" s="63"/>
      <c r="EB41" s="63"/>
      <c r="EC41" s="63"/>
      <c r="ED41" s="63"/>
    </row>
    <row r="42" spans="1:134" s="3" customFormat="1" ht="21.75" thickBot="1" x14ac:dyDescent="0.3">
      <c r="A42" s="18"/>
      <c r="B42" s="57" t="s">
        <v>40</v>
      </c>
      <c r="C42" s="58"/>
      <c r="D42" s="59"/>
      <c r="E42" s="60"/>
      <c r="F42" s="61"/>
      <c r="G42" s="62"/>
      <c r="H42" s="62" t="str">
        <f t="shared" si="16"/>
        <v/>
      </c>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5"/>
      <c r="AJ42" s="65"/>
      <c r="AK42" s="65"/>
      <c r="AL42" s="65"/>
      <c r="AM42" s="65"/>
      <c r="AN42" s="65"/>
      <c r="AO42" s="65"/>
      <c r="AP42" s="65"/>
      <c r="AQ42" s="65"/>
      <c r="AR42" s="65"/>
      <c r="AS42" s="65"/>
      <c r="AT42" s="65"/>
      <c r="AU42" s="65"/>
      <c r="AV42" s="65"/>
      <c r="AW42" s="65"/>
      <c r="AX42" s="65"/>
      <c r="AY42" s="65"/>
      <c r="AZ42" s="65"/>
      <c r="BA42" s="65"/>
      <c r="BB42" s="65"/>
      <c r="BC42" s="65"/>
      <c r="BD42" s="65"/>
      <c r="BE42" s="65"/>
      <c r="BF42" s="65"/>
      <c r="BG42" s="65"/>
      <c r="BH42" s="65"/>
      <c r="BI42" s="65"/>
      <c r="BJ42" s="65"/>
      <c r="BK42" s="65"/>
      <c r="BL42" s="65"/>
      <c r="BM42" s="65"/>
      <c r="BN42" s="65"/>
      <c r="BO42" s="65"/>
      <c r="BP42" s="65"/>
      <c r="BQ42" s="65"/>
      <c r="BR42" s="65"/>
      <c r="BS42" s="65"/>
      <c r="BT42" s="65"/>
      <c r="BU42" s="65"/>
      <c r="BV42" s="65"/>
      <c r="BW42" s="65"/>
      <c r="BX42" s="65"/>
      <c r="BY42" s="65"/>
      <c r="BZ42" s="65"/>
      <c r="CA42" s="65"/>
      <c r="CB42" s="65"/>
      <c r="CC42" s="65"/>
      <c r="CD42" s="65"/>
      <c r="CE42" s="65"/>
      <c r="CF42" s="65"/>
      <c r="CG42" s="65"/>
      <c r="CH42" s="65"/>
      <c r="CI42" s="65"/>
      <c r="CJ42" s="65"/>
      <c r="CK42" s="65"/>
      <c r="CL42" s="65"/>
      <c r="CM42" s="65"/>
      <c r="CN42" s="65"/>
      <c r="CO42" s="65"/>
      <c r="CP42" s="65"/>
      <c r="CQ42" s="65"/>
      <c r="CR42" s="65"/>
      <c r="CS42" s="65"/>
      <c r="CT42" s="65"/>
      <c r="CU42" s="65"/>
      <c r="CV42" s="65"/>
      <c r="CW42" s="65"/>
      <c r="CX42" s="65"/>
      <c r="CY42" s="65"/>
      <c r="CZ42" s="65"/>
      <c r="DA42" s="65"/>
      <c r="DB42" s="65"/>
      <c r="DC42" s="65"/>
      <c r="DD42" s="65"/>
      <c r="DE42" s="65"/>
      <c r="DF42" s="65"/>
      <c r="DG42" s="65"/>
      <c r="DH42" s="65"/>
      <c r="DI42" s="65"/>
      <c r="DJ42" s="65"/>
      <c r="DK42" s="65"/>
      <c r="DL42" s="65"/>
      <c r="DM42" s="65"/>
      <c r="DN42" s="65"/>
      <c r="DO42" s="65"/>
      <c r="DP42" s="65"/>
      <c r="DQ42" s="65"/>
      <c r="DR42" s="65"/>
      <c r="DS42" s="65"/>
      <c r="DT42" s="65"/>
      <c r="DU42" s="65"/>
      <c r="DV42" s="65"/>
      <c r="DW42" s="65"/>
      <c r="DX42" s="65"/>
      <c r="DY42" s="65"/>
      <c r="DZ42" s="65"/>
      <c r="EA42" s="65"/>
      <c r="EB42" s="65"/>
      <c r="EC42" s="65"/>
      <c r="ED42" s="65"/>
    </row>
    <row r="43" spans="1:134" x14ac:dyDescent="0.25">
      <c r="A43" s="6"/>
      <c r="G43" s="6"/>
    </row>
    <row r="44" spans="1:134" x14ac:dyDescent="0.25">
      <c r="B44" s="16"/>
      <c r="C44" s="16"/>
      <c r="F44" s="76"/>
    </row>
    <row r="45" spans="1:134" x14ac:dyDescent="0.25">
      <c r="B45" s="80"/>
      <c r="C45" s="17"/>
    </row>
    <row r="46" spans="1:134" x14ac:dyDescent="0.25">
      <c r="B46" s="79"/>
    </row>
  </sheetData>
  <mergeCells count="21">
    <mergeCell ref="I1:N1"/>
    <mergeCell ref="DC4:DI4"/>
    <mergeCell ref="DJ4:DP4"/>
    <mergeCell ref="DQ4:DW4"/>
    <mergeCell ref="DX4:ED4"/>
    <mergeCell ref="BT4:BZ4"/>
    <mergeCell ref="CA4:CG4"/>
    <mergeCell ref="CH4:CN4"/>
    <mergeCell ref="CO4:CU4"/>
    <mergeCell ref="CV4:DB4"/>
    <mergeCell ref="BM4:BS4"/>
    <mergeCell ref="E2:F2"/>
    <mergeCell ref="I4:O4"/>
    <mergeCell ref="P4:V4"/>
    <mergeCell ref="W4:AC4"/>
    <mergeCell ref="AD4:AJ4"/>
    <mergeCell ref="E3:F3"/>
    <mergeCell ref="AK4:AQ4"/>
    <mergeCell ref="AR4:AX4"/>
    <mergeCell ref="AY4:BE4"/>
    <mergeCell ref="BF4:BL4"/>
  </mergeCells>
  <conditionalFormatting sqref="D7:D42">
    <cfRule type="dataBar" priority="4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ED42">
    <cfRule type="expression" dxfId="5" priority="3">
      <formula>AND(today&gt;=I$5,today&lt;I$5+1)</formula>
    </cfRule>
  </conditionalFormatting>
  <conditionalFormatting sqref="I7:ED42">
    <cfRule type="expression" dxfId="4" priority="1">
      <formula>AND(task_start&lt;=I$5,ROUNDDOWN((task_end-task_start+1)*task_progress,0)+task_start-1&gt;=I$5)</formula>
    </cfRule>
    <cfRule type="expression" dxfId="3" priority="2"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ageMargins left="0.35" right="0.35" top="0.35" bottom="0.5" header="0.3" footer="0.3"/>
  <pageSetup scale="62" fitToHeight="0" orientation="landscape" r:id="rId1"/>
  <headerFooter scaleWithDoc="0"/>
  <legacyDrawing r:id="rId2"/>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D7:D42</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10C75-AE45-4028-ADC1-4025300215F3}">
  <sheetPr>
    <pageSetUpPr fitToPage="1"/>
  </sheetPr>
  <dimension ref="A1:ED17"/>
  <sheetViews>
    <sheetView showGridLines="0" showRuler="0" zoomScale="80" zoomScaleNormal="80" zoomScalePageLayoutView="70" workbookViewId="0">
      <pane ySplit="6" topLeftCell="A7" activePane="bottomLeft" state="frozen"/>
      <selection pane="bottomLeft" activeCell="AS3" sqref="AS3"/>
    </sheetView>
  </sheetViews>
  <sheetFormatPr defaultRowHeight="15" x14ac:dyDescent="0.25"/>
  <cols>
    <col min="1" max="1" width="2.7109375" customWidth="1"/>
    <col min="2" max="2" width="32.28515625" customWidth="1"/>
    <col min="3" max="3" width="9.140625" customWidth="1"/>
    <col min="4" max="4" width="10.7109375" customWidth="1"/>
    <col min="5" max="5" width="29.85546875" style="5" customWidth="1"/>
    <col min="6" max="6" width="30.42578125" customWidth="1"/>
    <col min="7" max="7" width="2.7109375" customWidth="1"/>
    <col min="8" max="8" width="6.140625" hidden="1" customWidth="1"/>
    <col min="9" max="64" width="2.5703125" customWidth="1"/>
    <col min="65" max="134" width="3" customWidth="1"/>
  </cols>
  <sheetData>
    <row r="1" spans="1:134" ht="28.5" x14ac:dyDescent="0.45">
      <c r="B1" s="15" t="s">
        <v>55</v>
      </c>
      <c r="C1" s="1"/>
      <c r="D1" s="2"/>
      <c r="E1" s="4"/>
      <c r="F1" s="77"/>
      <c r="H1" s="2"/>
      <c r="I1" s="124" t="str">
        <f>HYPERLINK("#'Projects'!A1","◄ All projects")</f>
        <v>◄ All projects</v>
      </c>
      <c r="J1" s="124"/>
      <c r="K1" s="124"/>
      <c r="L1" s="124"/>
      <c r="M1" s="124"/>
      <c r="N1" s="124"/>
      <c r="O1" s="116"/>
      <c r="P1" s="116"/>
      <c r="Q1" s="116"/>
      <c r="R1" s="116"/>
      <c r="S1" s="116"/>
      <c r="T1" s="116"/>
      <c r="U1" s="116"/>
      <c r="V1" s="116"/>
      <c r="W1" s="116"/>
      <c r="X1" s="116"/>
      <c r="Y1" s="116"/>
      <c r="Z1" s="116"/>
      <c r="AA1" s="116"/>
    </row>
    <row r="2" spans="1:134" ht="19.5" customHeight="1" x14ac:dyDescent="0.3">
      <c r="B2" s="8" t="s">
        <v>1</v>
      </c>
      <c r="D2" s="6" t="s">
        <v>2</v>
      </c>
      <c r="E2" s="122">
        <v>45313</v>
      </c>
      <c r="F2" s="123"/>
    </row>
    <row r="3" spans="1:134" ht="19.5" customHeight="1" x14ac:dyDescent="0.3">
      <c r="B3" s="8" t="s">
        <v>56</v>
      </c>
      <c r="D3" s="6" t="s">
        <v>4</v>
      </c>
      <c r="E3" s="122">
        <f ca="1">TODAY()</f>
        <v>46317</v>
      </c>
      <c r="F3" s="123"/>
      <c r="AS3" s="95"/>
    </row>
    <row r="4" spans="1:134" ht="19.5" customHeight="1" x14ac:dyDescent="0.25">
      <c r="D4" s="6" t="s">
        <v>8</v>
      </c>
      <c r="E4" s="7">
        <v>1</v>
      </c>
      <c r="I4" s="119">
        <f>I5</f>
        <v>45313</v>
      </c>
      <c r="J4" s="120"/>
      <c r="K4" s="120"/>
      <c r="L4" s="120"/>
      <c r="M4" s="120"/>
      <c r="N4" s="120"/>
      <c r="O4" s="121"/>
      <c r="P4" s="119">
        <f>P5</f>
        <v>45320</v>
      </c>
      <c r="Q4" s="120"/>
      <c r="R4" s="120"/>
      <c r="S4" s="120"/>
      <c r="T4" s="120"/>
      <c r="U4" s="120"/>
      <c r="V4" s="121"/>
      <c r="W4" s="119">
        <f>W5</f>
        <v>45327</v>
      </c>
      <c r="X4" s="120"/>
      <c r="Y4" s="120"/>
      <c r="Z4" s="120"/>
      <c r="AA4" s="120"/>
      <c r="AB4" s="120"/>
      <c r="AC4" s="121"/>
      <c r="AD4" s="119">
        <f>AD5</f>
        <v>45334</v>
      </c>
      <c r="AE4" s="120"/>
      <c r="AF4" s="120"/>
      <c r="AG4" s="120"/>
      <c r="AH4" s="120"/>
      <c r="AI4" s="120"/>
      <c r="AJ4" s="121"/>
      <c r="AK4" s="119">
        <f>AK5</f>
        <v>45341</v>
      </c>
      <c r="AL4" s="120"/>
      <c r="AM4" s="120"/>
      <c r="AN4" s="120"/>
      <c r="AO4" s="120"/>
      <c r="AP4" s="120"/>
      <c r="AQ4" s="121"/>
      <c r="AR4" s="119">
        <f>AR5</f>
        <v>45348</v>
      </c>
      <c r="AS4" s="120"/>
      <c r="AT4" s="120"/>
      <c r="AU4" s="120"/>
      <c r="AV4" s="120"/>
      <c r="AW4" s="120"/>
      <c r="AX4" s="121"/>
      <c r="AY4" s="119">
        <f>AY5</f>
        <v>45355</v>
      </c>
      <c r="AZ4" s="120"/>
      <c r="BA4" s="120"/>
      <c r="BB4" s="120"/>
      <c r="BC4" s="120"/>
      <c r="BD4" s="120"/>
      <c r="BE4" s="121"/>
      <c r="BF4" s="119">
        <f>BF5</f>
        <v>45362</v>
      </c>
      <c r="BG4" s="120"/>
      <c r="BH4" s="120"/>
      <c r="BI4" s="120"/>
      <c r="BJ4" s="120"/>
      <c r="BK4" s="120"/>
      <c r="BL4" s="121"/>
      <c r="BM4" s="119">
        <f>BM5</f>
        <v>45369</v>
      </c>
      <c r="BN4" s="120"/>
      <c r="BO4" s="120"/>
      <c r="BP4" s="120"/>
      <c r="BQ4" s="120"/>
      <c r="BR4" s="120"/>
      <c r="BS4" s="121"/>
      <c r="BT4" s="119">
        <f>BT5</f>
        <v>45376</v>
      </c>
      <c r="BU4" s="120"/>
      <c r="BV4" s="120"/>
      <c r="BW4" s="120"/>
      <c r="BX4" s="120"/>
      <c r="BY4" s="120"/>
      <c r="BZ4" s="121"/>
      <c r="CA4" s="119">
        <f>CA5</f>
        <v>45383</v>
      </c>
      <c r="CB4" s="120"/>
      <c r="CC4" s="120"/>
      <c r="CD4" s="120"/>
      <c r="CE4" s="120"/>
      <c r="CF4" s="120"/>
      <c r="CG4" s="121"/>
      <c r="CH4" s="119">
        <f>CH5</f>
        <v>45390</v>
      </c>
      <c r="CI4" s="120"/>
      <c r="CJ4" s="120"/>
      <c r="CK4" s="120"/>
      <c r="CL4" s="120"/>
      <c r="CM4" s="120"/>
      <c r="CN4" s="121"/>
      <c r="CO4" s="119">
        <f>CO5</f>
        <v>45397</v>
      </c>
      <c r="CP4" s="120"/>
      <c r="CQ4" s="120"/>
      <c r="CR4" s="120"/>
      <c r="CS4" s="120"/>
      <c r="CT4" s="120"/>
      <c r="CU4" s="121"/>
      <c r="CV4" s="119">
        <f>CV5</f>
        <v>45404</v>
      </c>
      <c r="CW4" s="120"/>
      <c r="CX4" s="120"/>
      <c r="CY4" s="120"/>
      <c r="CZ4" s="120"/>
      <c r="DA4" s="120"/>
      <c r="DB4" s="121"/>
      <c r="DC4" s="119">
        <f>DC5</f>
        <v>45411</v>
      </c>
      <c r="DD4" s="120"/>
      <c r="DE4" s="120"/>
      <c r="DF4" s="120"/>
      <c r="DG4" s="120"/>
      <c r="DH4" s="120"/>
      <c r="DI4" s="121"/>
      <c r="DJ4" s="119">
        <f>DJ5</f>
        <v>45418</v>
      </c>
      <c r="DK4" s="120"/>
      <c r="DL4" s="120"/>
      <c r="DM4" s="120"/>
      <c r="DN4" s="120"/>
      <c r="DO4" s="120"/>
      <c r="DP4" s="121"/>
      <c r="DQ4" s="119">
        <f>DQ5</f>
        <v>45425</v>
      </c>
      <c r="DR4" s="120"/>
      <c r="DS4" s="120"/>
      <c r="DT4" s="120"/>
      <c r="DU4" s="120"/>
      <c r="DV4" s="120"/>
      <c r="DW4" s="121"/>
      <c r="DX4" s="119">
        <f>DX5</f>
        <v>45432</v>
      </c>
      <c r="DY4" s="120"/>
      <c r="DZ4" s="120"/>
      <c r="EA4" s="120"/>
      <c r="EB4" s="120"/>
      <c r="EC4" s="120"/>
      <c r="ED4" s="121"/>
    </row>
    <row r="5" spans="1:134" x14ac:dyDescent="0.25">
      <c r="A5" s="6"/>
      <c r="G5" s="6"/>
      <c r="I5" s="125">
        <f>E2-WEEKDAY(E2,1)+2+7*(E4-1)</f>
        <v>45313</v>
      </c>
      <c r="J5" s="126">
        <f>I5+1</f>
        <v>45314</v>
      </c>
      <c r="K5" s="126">
        <f t="shared" ref="K5:AX5" si="0">J5+1</f>
        <v>45315</v>
      </c>
      <c r="L5" s="126">
        <f t="shared" si="0"/>
        <v>45316</v>
      </c>
      <c r="M5" s="126">
        <f t="shared" si="0"/>
        <v>45317</v>
      </c>
      <c r="N5" s="126">
        <f t="shared" si="0"/>
        <v>45318</v>
      </c>
      <c r="O5" s="127">
        <f t="shared" si="0"/>
        <v>45319</v>
      </c>
      <c r="P5" s="125">
        <f>O5+1</f>
        <v>45320</v>
      </c>
      <c r="Q5" s="126">
        <f>P5+1</f>
        <v>45321</v>
      </c>
      <c r="R5" s="126">
        <f t="shared" si="0"/>
        <v>45322</v>
      </c>
      <c r="S5" s="126">
        <f t="shared" si="0"/>
        <v>45323</v>
      </c>
      <c r="T5" s="126">
        <f t="shared" si="0"/>
        <v>45324</v>
      </c>
      <c r="U5" s="126">
        <f t="shared" si="0"/>
        <v>45325</v>
      </c>
      <c r="V5" s="127">
        <f t="shared" si="0"/>
        <v>45326</v>
      </c>
      <c r="W5" s="125">
        <f>V5+1</f>
        <v>45327</v>
      </c>
      <c r="X5" s="126">
        <f>W5+1</f>
        <v>45328</v>
      </c>
      <c r="Y5" s="126">
        <f t="shared" si="0"/>
        <v>45329</v>
      </c>
      <c r="Z5" s="126">
        <f t="shared" si="0"/>
        <v>45330</v>
      </c>
      <c r="AA5" s="126">
        <f t="shared" si="0"/>
        <v>45331</v>
      </c>
      <c r="AB5" s="126">
        <f t="shared" si="0"/>
        <v>45332</v>
      </c>
      <c r="AC5" s="127">
        <f t="shared" si="0"/>
        <v>45333</v>
      </c>
      <c r="AD5" s="125">
        <f>AC5+1</f>
        <v>45334</v>
      </c>
      <c r="AE5" s="126">
        <f>AD5+1</f>
        <v>45335</v>
      </c>
      <c r="AF5" s="126">
        <f t="shared" si="0"/>
        <v>45336</v>
      </c>
      <c r="AG5" s="126">
        <f t="shared" si="0"/>
        <v>45337</v>
      </c>
      <c r="AH5" s="126">
        <f t="shared" si="0"/>
        <v>45338</v>
      </c>
      <c r="AI5" s="126">
        <f t="shared" si="0"/>
        <v>45339</v>
      </c>
      <c r="AJ5" s="127">
        <f t="shared" si="0"/>
        <v>45340</v>
      </c>
      <c r="AK5" s="125">
        <f>AJ5+1</f>
        <v>45341</v>
      </c>
      <c r="AL5" s="126">
        <f>AK5+1</f>
        <v>45342</v>
      </c>
      <c r="AM5" s="126">
        <f t="shared" si="0"/>
        <v>45343</v>
      </c>
      <c r="AN5" s="126">
        <f t="shared" si="0"/>
        <v>45344</v>
      </c>
      <c r="AO5" s="126">
        <f t="shared" si="0"/>
        <v>45345</v>
      </c>
      <c r="AP5" s="126">
        <f t="shared" si="0"/>
        <v>45346</v>
      </c>
      <c r="AQ5" s="127">
        <f t="shared" si="0"/>
        <v>45347</v>
      </c>
      <c r="AR5" s="125">
        <f>AQ5+1</f>
        <v>45348</v>
      </c>
      <c r="AS5" s="126">
        <f>AR5+1</f>
        <v>45349</v>
      </c>
      <c r="AT5" s="126">
        <f t="shared" si="0"/>
        <v>45350</v>
      </c>
      <c r="AU5" s="126">
        <f t="shared" si="0"/>
        <v>45351</v>
      </c>
      <c r="AV5" s="126">
        <f t="shared" si="0"/>
        <v>45352</v>
      </c>
      <c r="AW5" s="126">
        <f t="shared" si="0"/>
        <v>45353</v>
      </c>
      <c r="AX5" s="127">
        <f t="shared" si="0"/>
        <v>45354</v>
      </c>
      <c r="AY5" s="125">
        <f>AX5+1</f>
        <v>45355</v>
      </c>
      <c r="AZ5" s="126">
        <f>AY5+1</f>
        <v>45356</v>
      </c>
      <c r="BA5" s="126">
        <f t="shared" ref="BA5:BE5" si="1">AZ5+1</f>
        <v>45357</v>
      </c>
      <c r="BB5" s="126">
        <f t="shared" si="1"/>
        <v>45358</v>
      </c>
      <c r="BC5" s="126">
        <f t="shared" si="1"/>
        <v>45359</v>
      </c>
      <c r="BD5" s="126">
        <f t="shared" si="1"/>
        <v>45360</v>
      </c>
      <c r="BE5" s="127">
        <f t="shared" si="1"/>
        <v>45361</v>
      </c>
      <c r="BF5" s="125">
        <f>BE5+1</f>
        <v>45362</v>
      </c>
      <c r="BG5" s="126">
        <f>BF5+1</f>
        <v>45363</v>
      </c>
      <c r="BH5" s="126">
        <f t="shared" ref="BH5:BL5" si="2">BG5+1</f>
        <v>45364</v>
      </c>
      <c r="BI5" s="126">
        <f t="shared" si="2"/>
        <v>45365</v>
      </c>
      <c r="BJ5" s="126">
        <f t="shared" si="2"/>
        <v>45366</v>
      </c>
      <c r="BK5" s="126">
        <f t="shared" si="2"/>
        <v>45367</v>
      </c>
      <c r="BL5" s="127">
        <f t="shared" si="2"/>
        <v>45368</v>
      </c>
      <c r="BM5" s="125">
        <f>BL5+1</f>
        <v>45369</v>
      </c>
      <c r="BN5" s="126">
        <f>BM5+1</f>
        <v>45370</v>
      </c>
      <c r="BO5" s="126">
        <f t="shared" ref="BO5:DZ5" si="3">BN5+1</f>
        <v>45371</v>
      </c>
      <c r="BP5" s="126">
        <f t="shared" si="3"/>
        <v>45372</v>
      </c>
      <c r="BQ5" s="126">
        <f t="shared" si="3"/>
        <v>45373</v>
      </c>
      <c r="BR5" s="126">
        <f t="shared" si="3"/>
        <v>45374</v>
      </c>
      <c r="BS5" s="127">
        <f t="shared" si="3"/>
        <v>45375</v>
      </c>
      <c r="BT5" s="125">
        <f t="shared" si="3"/>
        <v>45376</v>
      </c>
      <c r="BU5" s="126">
        <f t="shared" si="3"/>
        <v>45377</v>
      </c>
      <c r="BV5" s="126">
        <f t="shared" si="3"/>
        <v>45378</v>
      </c>
      <c r="BW5" s="126">
        <f t="shared" si="3"/>
        <v>45379</v>
      </c>
      <c r="BX5" s="126">
        <f t="shared" si="3"/>
        <v>45380</v>
      </c>
      <c r="BY5" s="126">
        <f t="shared" si="3"/>
        <v>45381</v>
      </c>
      <c r="BZ5" s="127">
        <f t="shared" si="3"/>
        <v>45382</v>
      </c>
      <c r="CA5" s="125">
        <f t="shared" si="3"/>
        <v>45383</v>
      </c>
      <c r="CB5" s="126">
        <f t="shared" si="3"/>
        <v>45384</v>
      </c>
      <c r="CC5" s="126">
        <f t="shared" si="3"/>
        <v>45385</v>
      </c>
      <c r="CD5" s="126">
        <f t="shared" si="3"/>
        <v>45386</v>
      </c>
      <c r="CE5" s="126">
        <f t="shared" si="3"/>
        <v>45387</v>
      </c>
      <c r="CF5" s="126">
        <f t="shared" si="3"/>
        <v>45388</v>
      </c>
      <c r="CG5" s="127">
        <f t="shared" si="3"/>
        <v>45389</v>
      </c>
      <c r="CH5" s="125">
        <f t="shared" si="3"/>
        <v>45390</v>
      </c>
      <c r="CI5" s="126">
        <f t="shared" si="3"/>
        <v>45391</v>
      </c>
      <c r="CJ5" s="126">
        <f t="shared" si="3"/>
        <v>45392</v>
      </c>
      <c r="CK5" s="126">
        <f t="shared" si="3"/>
        <v>45393</v>
      </c>
      <c r="CL5" s="126">
        <f t="shared" si="3"/>
        <v>45394</v>
      </c>
      <c r="CM5" s="126">
        <f t="shared" si="3"/>
        <v>45395</v>
      </c>
      <c r="CN5" s="127">
        <f t="shared" si="3"/>
        <v>45396</v>
      </c>
      <c r="CO5" s="125">
        <f t="shared" si="3"/>
        <v>45397</v>
      </c>
      <c r="CP5" s="126">
        <f t="shared" si="3"/>
        <v>45398</v>
      </c>
      <c r="CQ5" s="126">
        <f t="shared" si="3"/>
        <v>45399</v>
      </c>
      <c r="CR5" s="126">
        <f t="shared" si="3"/>
        <v>45400</v>
      </c>
      <c r="CS5" s="126">
        <f t="shared" si="3"/>
        <v>45401</v>
      </c>
      <c r="CT5" s="126">
        <f t="shared" si="3"/>
        <v>45402</v>
      </c>
      <c r="CU5" s="127">
        <f t="shared" si="3"/>
        <v>45403</v>
      </c>
      <c r="CV5" s="125">
        <f t="shared" si="3"/>
        <v>45404</v>
      </c>
      <c r="CW5" s="126">
        <f t="shared" si="3"/>
        <v>45405</v>
      </c>
      <c r="CX5" s="126">
        <f t="shared" si="3"/>
        <v>45406</v>
      </c>
      <c r="CY5" s="126">
        <f t="shared" si="3"/>
        <v>45407</v>
      </c>
      <c r="CZ5" s="126">
        <f t="shared" si="3"/>
        <v>45408</v>
      </c>
      <c r="DA5" s="126">
        <f t="shared" si="3"/>
        <v>45409</v>
      </c>
      <c r="DB5" s="127">
        <f t="shared" si="3"/>
        <v>45410</v>
      </c>
      <c r="DC5" s="125">
        <f t="shared" si="3"/>
        <v>45411</v>
      </c>
      <c r="DD5" s="126">
        <f t="shared" si="3"/>
        <v>45412</v>
      </c>
      <c r="DE5" s="126">
        <f t="shared" si="3"/>
        <v>45413</v>
      </c>
      <c r="DF5" s="126">
        <f t="shared" si="3"/>
        <v>45414</v>
      </c>
      <c r="DG5" s="126">
        <f t="shared" si="3"/>
        <v>45415</v>
      </c>
      <c r="DH5" s="126">
        <f t="shared" si="3"/>
        <v>45416</v>
      </c>
      <c r="DI5" s="127">
        <f t="shared" si="3"/>
        <v>45417</v>
      </c>
      <c r="DJ5" s="125">
        <f t="shared" si="3"/>
        <v>45418</v>
      </c>
      <c r="DK5" s="126">
        <f t="shared" si="3"/>
        <v>45419</v>
      </c>
      <c r="DL5" s="126">
        <f t="shared" si="3"/>
        <v>45420</v>
      </c>
      <c r="DM5" s="126">
        <f t="shared" si="3"/>
        <v>45421</v>
      </c>
      <c r="DN5" s="126">
        <f t="shared" si="3"/>
        <v>45422</v>
      </c>
      <c r="DO5" s="126">
        <f t="shared" si="3"/>
        <v>45423</v>
      </c>
      <c r="DP5" s="127">
        <f t="shared" si="3"/>
        <v>45424</v>
      </c>
      <c r="DQ5" s="125">
        <f t="shared" si="3"/>
        <v>45425</v>
      </c>
      <c r="DR5" s="126">
        <f t="shared" si="3"/>
        <v>45426</v>
      </c>
      <c r="DS5" s="126">
        <f t="shared" si="3"/>
        <v>45427</v>
      </c>
      <c r="DT5" s="126">
        <f t="shared" si="3"/>
        <v>45428</v>
      </c>
      <c r="DU5" s="126">
        <f t="shared" si="3"/>
        <v>45429</v>
      </c>
      <c r="DV5" s="126">
        <f t="shared" si="3"/>
        <v>45430</v>
      </c>
      <c r="DW5" s="127">
        <f t="shared" si="3"/>
        <v>45431</v>
      </c>
      <c r="DX5" s="125">
        <f t="shared" si="3"/>
        <v>45432</v>
      </c>
      <c r="DY5" s="126">
        <f t="shared" si="3"/>
        <v>45433</v>
      </c>
      <c r="DZ5" s="126">
        <f t="shared" si="3"/>
        <v>45434</v>
      </c>
      <c r="EA5" s="126">
        <f t="shared" ref="EA5:ED5" si="4">DZ5+1</f>
        <v>45435</v>
      </c>
      <c r="EB5" s="126">
        <f t="shared" si="4"/>
        <v>45436</v>
      </c>
      <c r="EC5" s="126">
        <f t="shared" si="4"/>
        <v>45437</v>
      </c>
      <c r="ED5" s="127">
        <f t="shared" si="4"/>
        <v>45438</v>
      </c>
    </row>
    <row r="6" spans="1:134" ht="29.25" customHeight="1" thickBot="1" x14ac:dyDescent="0.3">
      <c r="A6" s="18"/>
      <c r="B6" s="9" t="s">
        <v>9</v>
      </c>
      <c r="C6" s="10" t="s">
        <v>10</v>
      </c>
      <c r="D6" s="10" t="s">
        <v>11</v>
      </c>
      <c r="E6" s="10" t="s">
        <v>12</v>
      </c>
      <c r="F6" s="10" t="s">
        <v>13</v>
      </c>
      <c r="G6" s="10"/>
      <c r="H6" s="10" t="s">
        <v>14</v>
      </c>
      <c r="I6" s="14" t="str">
        <f t="shared" ref="I6:BT6" si="5">LEFT(TEXT(I5,"ddd"),1)</f>
        <v>M</v>
      </c>
      <c r="J6" s="14" t="str">
        <f t="shared" si="5"/>
        <v>T</v>
      </c>
      <c r="K6" s="14" t="str">
        <f t="shared" si="5"/>
        <v>W</v>
      </c>
      <c r="L6" s="14" t="str">
        <f t="shared" si="5"/>
        <v>T</v>
      </c>
      <c r="M6" s="14" t="str">
        <f t="shared" si="5"/>
        <v>F</v>
      </c>
      <c r="N6" s="14" t="str">
        <f t="shared" si="5"/>
        <v>S</v>
      </c>
      <c r="O6" s="14" t="str">
        <f t="shared" si="5"/>
        <v>S</v>
      </c>
      <c r="P6" s="14" t="str">
        <f t="shared" si="5"/>
        <v>M</v>
      </c>
      <c r="Q6" s="14" t="str">
        <f t="shared" si="5"/>
        <v>T</v>
      </c>
      <c r="R6" s="14" t="str">
        <f t="shared" si="5"/>
        <v>W</v>
      </c>
      <c r="S6" s="14" t="str">
        <f t="shared" si="5"/>
        <v>T</v>
      </c>
      <c r="T6" s="14" t="str">
        <f t="shared" si="5"/>
        <v>F</v>
      </c>
      <c r="U6" s="14" t="str">
        <f t="shared" si="5"/>
        <v>S</v>
      </c>
      <c r="V6" s="14" t="str">
        <f t="shared" si="5"/>
        <v>S</v>
      </c>
      <c r="W6" s="14" t="str">
        <f t="shared" si="5"/>
        <v>M</v>
      </c>
      <c r="X6" s="14" t="str">
        <f t="shared" si="5"/>
        <v>T</v>
      </c>
      <c r="Y6" s="14" t="str">
        <f t="shared" si="5"/>
        <v>W</v>
      </c>
      <c r="Z6" s="14" t="str">
        <f t="shared" si="5"/>
        <v>T</v>
      </c>
      <c r="AA6" s="14" t="str">
        <f t="shared" si="5"/>
        <v>F</v>
      </c>
      <c r="AB6" s="14" t="str">
        <f t="shared" si="5"/>
        <v>S</v>
      </c>
      <c r="AC6" s="14" t="str">
        <f t="shared" si="5"/>
        <v>S</v>
      </c>
      <c r="AD6" s="14" t="str">
        <f t="shared" si="5"/>
        <v>M</v>
      </c>
      <c r="AE6" s="14" t="str">
        <f t="shared" si="5"/>
        <v>T</v>
      </c>
      <c r="AF6" s="14" t="str">
        <f t="shared" si="5"/>
        <v>W</v>
      </c>
      <c r="AG6" s="14" t="str">
        <f t="shared" si="5"/>
        <v>T</v>
      </c>
      <c r="AH6" s="14" t="str">
        <f t="shared" si="5"/>
        <v>F</v>
      </c>
      <c r="AI6" s="14" t="str">
        <f t="shared" si="5"/>
        <v>S</v>
      </c>
      <c r="AJ6" s="14" t="str">
        <f t="shared" si="5"/>
        <v>S</v>
      </c>
      <c r="AK6" s="14" t="str">
        <f t="shared" si="5"/>
        <v>M</v>
      </c>
      <c r="AL6" s="14" t="str">
        <f t="shared" si="5"/>
        <v>T</v>
      </c>
      <c r="AM6" s="14" t="str">
        <f t="shared" si="5"/>
        <v>W</v>
      </c>
      <c r="AN6" s="14" t="str">
        <f t="shared" si="5"/>
        <v>T</v>
      </c>
      <c r="AO6" s="14" t="str">
        <f t="shared" si="5"/>
        <v>F</v>
      </c>
      <c r="AP6" s="14" t="str">
        <f t="shared" si="5"/>
        <v>S</v>
      </c>
      <c r="AQ6" s="14" t="str">
        <f t="shared" si="5"/>
        <v>S</v>
      </c>
      <c r="AR6" s="14" t="str">
        <f t="shared" si="5"/>
        <v>M</v>
      </c>
      <c r="AS6" s="14" t="str">
        <f t="shared" si="5"/>
        <v>T</v>
      </c>
      <c r="AT6" s="14" t="str">
        <f t="shared" si="5"/>
        <v>W</v>
      </c>
      <c r="AU6" s="14" t="str">
        <f t="shared" si="5"/>
        <v>T</v>
      </c>
      <c r="AV6" s="14" t="str">
        <f t="shared" si="5"/>
        <v>F</v>
      </c>
      <c r="AW6" s="14" t="str">
        <f t="shared" si="5"/>
        <v>S</v>
      </c>
      <c r="AX6" s="14" t="str">
        <f t="shared" si="5"/>
        <v>S</v>
      </c>
      <c r="AY6" s="14" t="str">
        <f t="shared" si="5"/>
        <v>M</v>
      </c>
      <c r="AZ6" s="14" t="str">
        <f t="shared" si="5"/>
        <v>T</v>
      </c>
      <c r="BA6" s="14" t="str">
        <f t="shared" si="5"/>
        <v>W</v>
      </c>
      <c r="BB6" s="14" t="str">
        <f t="shared" si="5"/>
        <v>T</v>
      </c>
      <c r="BC6" s="14" t="str">
        <f t="shared" si="5"/>
        <v>F</v>
      </c>
      <c r="BD6" s="14" t="str">
        <f t="shared" si="5"/>
        <v>S</v>
      </c>
      <c r="BE6" s="14" t="str">
        <f t="shared" si="5"/>
        <v>S</v>
      </c>
      <c r="BF6" s="14" t="str">
        <f t="shared" si="5"/>
        <v>M</v>
      </c>
      <c r="BG6" s="14" t="str">
        <f t="shared" si="5"/>
        <v>T</v>
      </c>
      <c r="BH6" s="14" t="str">
        <f t="shared" si="5"/>
        <v>W</v>
      </c>
      <c r="BI6" s="14" t="str">
        <f t="shared" si="5"/>
        <v>T</v>
      </c>
      <c r="BJ6" s="14" t="str">
        <f t="shared" si="5"/>
        <v>F</v>
      </c>
      <c r="BK6" s="14" t="str">
        <f t="shared" si="5"/>
        <v>S</v>
      </c>
      <c r="BL6" s="14" t="str">
        <f t="shared" si="5"/>
        <v>S</v>
      </c>
      <c r="BM6" s="14" t="str">
        <f t="shared" si="5"/>
        <v>M</v>
      </c>
      <c r="BN6" s="14" t="str">
        <f t="shared" si="5"/>
        <v>T</v>
      </c>
      <c r="BO6" s="14" t="str">
        <f t="shared" si="5"/>
        <v>W</v>
      </c>
      <c r="BP6" s="14" t="str">
        <f t="shared" si="5"/>
        <v>T</v>
      </c>
      <c r="BQ6" s="14" t="str">
        <f t="shared" si="5"/>
        <v>F</v>
      </c>
      <c r="BR6" s="14" t="str">
        <f t="shared" si="5"/>
        <v>S</v>
      </c>
      <c r="BS6" s="14" t="str">
        <f t="shared" si="5"/>
        <v>S</v>
      </c>
      <c r="BT6" s="14" t="str">
        <f t="shared" si="5"/>
        <v>M</v>
      </c>
      <c r="BU6" s="14" t="str">
        <f t="shared" ref="BU6:ED6" si="6">LEFT(TEXT(BU5,"ddd"),1)</f>
        <v>T</v>
      </c>
      <c r="BV6" s="14" t="str">
        <f t="shared" si="6"/>
        <v>W</v>
      </c>
      <c r="BW6" s="14" t="str">
        <f t="shared" si="6"/>
        <v>T</v>
      </c>
      <c r="BX6" s="14" t="str">
        <f t="shared" si="6"/>
        <v>F</v>
      </c>
      <c r="BY6" s="14" t="str">
        <f t="shared" si="6"/>
        <v>S</v>
      </c>
      <c r="BZ6" s="14" t="str">
        <f t="shared" si="6"/>
        <v>S</v>
      </c>
      <c r="CA6" s="14" t="str">
        <f t="shared" si="6"/>
        <v>M</v>
      </c>
      <c r="CB6" s="14" t="str">
        <f t="shared" si="6"/>
        <v>T</v>
      </c>
      <c r="CC6" s="14" t="str">
        <f t="shared" si="6"/>
        <v>W</v>
      </c>
      <c r="CD6" s="14" t="str">
        <f t="shared" si="6"/>
        <v>T</v>
      </c>
      <c r="CE6" s="14" t="str">
        <f t="shared" si="6"/>
        <v>F</v>
      </c>
      <c r="CF6" s="14" t="str">
        <f t="shared" si="6"/>
        <v>S</v>
      </c>
      <c r="CG6" s="14" t="str">
        <f t="shared" si="6"/>
        <v>S</v>
      </c>
      <c r="CH6" s="14" t="str">
        <f t="shared" si="6"/>
        <v>M</v>
      </c>
      <c r="CI6" s="14" t="str">
        <f t="shared" si="6"/>
        <v>T</v>
      </c>
      <c r="CJ6" s="14" t="str">
        <f t="shared" si="6"/>
        <v>W</v>
      </c>
      <c r="CK6" s="14" t="str">
        <f t="shared" si="6"/>
        <v>T</v>
      </c>
      <c r="CL6" s="14" t="str">
        <f t="shared" si="6"/>
        <v>F</v>
      </c>
      <c r="CM6" s="14" t="str">
        <f t="shared" si="6"/>
        <v>S</v>
      </c>
      <c r="CN6" s="14" t="str">
        <f t="shared" si="6"/>
        <v>S</v>
      </c>
      <c r="CO6" s="14" t="str">
        <f t="shared" si="6"/>
        <v>M</v>
      </c>
      <c r="CP6" s="14" t="str">
        <f t="shared" si="6"/>
        <v>T</v>
      </c>
      <c r="CQ6" s="14" t="str">
        <f t="shared" si="6"/>
        <v>W</v>
      </c>
      <c r="CR6" s="14" t="str">
        <f t="shared" si="6"/>
        <v>T</v>
      </c>
      <c r="CS6" s="14" t="str">
        <f t="shared" si="6"/>
        <v>F</v>
      </c>
      <c r="CT6" s="14" t="str">
        <f t="shared" si="6"/>
        <v>S</v>
      </c>
      <c r="CU6" s="14" t="str">
        <f t="shared" si="6"/>
        <v>S</v>
      </c>
      <c r="CV6" s="14" t="str">
        <f t="shared" si="6"/>
        <v>M</v>
      </c>
      <c r="CW6" s="14" t="str">
        <f t="shared" si="6"/>
        <v>T</v>
      </c>
      <c r="CX6" s="14" t="str">
        <f t="shared" si="6"/>
        <v>W</v>
      </c>
      <c r="CY6" s="14" t="str">
        <f t="shared" si="6"/>
        <v>T</v>
      </c>
      <c r="CZ6" s="14" t="str">
        <f t="shared" si="6"/>
        <v>F</v>
      </c>
      <c r="DA6" s="14" t="str">
        <f t="shared" si="6"/>
        <v>S</v>
      </c>
      <c r="DB6" s="14" t="str">
        <f t="shared" si="6"/>
        <v>S</v>
      </c>
      <c r="DC6" s="14" t="str">
        <f t="shared" si="6"/>
        <v>M</v>
      </c>
      <c r="DD6" s="14" t="str">
        <f t="shared" si="6"/>
        <v>T</v>
      </c>
      <c r="DE6" s="14" t="str">
        <f t="shared" si="6"/>
        <v>W</v>
      </c>
      <c r="DF6" s="14" t="str">
        <f t="shared" si="6"/>
        <v>T</v>
      </c>
      <c r="DG6" s="14" t="str">
        <f t="shared" si="6"/>
        <v>F</v>
      </c>
      <c r="DH6" s="14" t="str">
        <f t="shared" si="6"/>
        <v>S</v>
      </c>
      <c r="DI6" s="14" t="str">
        <f t="shared" si="6"/>
        <v>S</v>
      </c>
      <c r="DJ6" s="14" t="str">
        <f t="shared" si="6"/>
        <v>M</v>
      </c>
      <c r="DK6" s="14" t="str">
        <f t="shared" si="6"/>
        <v>T</v>
      </c>
      <c r="DL6" s="14" t="str">
        <f t="shared" si="6"/>
        <v>W</v>
      </c>
      <c r="DM6" s="14" t="str">
        <f t="shared" si="6"/>
        <v>T</v>
      </c>
      <c r="DN6" s="14" t="str">
        <f t="shared" si="6"/>
        <v>F</v>
      </c>
      <c r="DO6" s="14" t="str">
        <f t="shared" si="6"/>
        <v>S</v>
      </c>
      <c r="DP6" s="14" t="str">
        <f t="shared" si="6"/>
        <v>S</v>
      </c>
      <c r="DQ6" s="14" t="str">
        <f t="shared" si="6"/>
        <v>M</v>
      </c>
      <c r="DR6" s="14" t="str">
        <f t="shared" si="6"/>
        <v>T</v>
      </c>
      <c r="DS6" s="14" t="str">
        <f t="shared" si="6"/>
        <v>W</v>
      </c>
      <c r="DT6" s="14" t="str">
        <f t="shared" si="6"/>
        <v>T</v>
      </c>
      <c r="DU6" s="14" t="str">
        <f t="shared" si="6"/>
        <v>F</v>
      </c>
      <c r="DV6" s="14" t="str">
        <f t="shared" si="6"/>
        <v>S</v>
      </c>
      <c r="DW6" s="14" t="str">
        <f t="shared" si="6"/>
        <v>S</v>
      </c>
      <c r="DX6" s="14" t="str">
        <f t="shared" si="6"/>
        <v>M</v>
      </c>
      <c r="DY6" s="14" t="str">
        <f t="shared" si="6"/>
        <v>T</v>
      </c>
      <c r="DZ6" s="14" t="str">
        <f t="shared" si="6"/>
        <v>W</v>
      </c>
      <c r="EA6" s="14" t="str">
        <f t="shared" si="6"/>
        <v>T</v>
      </c>
      <c r="EB6" s="14" t="str">
        <f t="shared" si="6"/>
        <v>F</v>
      </c>
      <c r="EC6" s="14" t="str">
        <f t="shared" si="6"/>
        <v>S</v>
      </c>
      <c r="ED6" s="14" t="str">
        <f t="shared" si="6"/>
        <v>S</v>
      </c>
    </row>
    <row r="7" spans="1:134" s="3" customFormat="1" ht="21.75" thickBot="1" x14ac:dyDescent="0.3">
      <c r="A7" s="18"/>
      <c r="B7" s="19"/>
      <c r="C7" s="20"/>
      <c r="D7" s="21"/>
      <c r="E7" s="22"/>
      <c r="F7" s="23"/>
      <c r="G7" s="24"/>
      <c r="H7" s="24" t="str">
        <f t="shared" ref="H7:H13" si="7">IF(OR(ISBLANK(task_start),ISBLANK(task_end)),"",task_end-task_start+1)</f>
        <v/>
      </c>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c r="BN7" s="63"/>
      <c r="BO7" s="63"/>
      <c r="BP7" s="63"/>
      <c r="BQ7" s="63"/>
      <c r="BR7" s="63"/>
      <c r="BS7" s="63"/>
      <c r="BT7" s="63"/>
      <c r="BU7" s="63"/>
      <c r="BV7" s="63"/>
      <c r="BW7" s="63"/>
      <c r="BX7" s="63"/>
      <c r="BY7" s="63"/>
      <c r="BZ7" s="63"/>
      <c r="CA7" s="63"/>
      <c r="CB7" s="63"/>
      <c r="CC7" s="63"/>
      <c r="CD7" s="63"/>
      <c r="CE7" s="63"/>
      <c r="CF7" s="63"/>
      <c r="CG7" s="63"/>
      <c r="CH7" s="63"/>
      <c r="CI7" s="63"/>
      <c r="CJ7" s="63"/>
      <c r="CK7" s="63"/>
      <c r="CL7" s="63"/>
      <c r="CM7" s="63"/>
      <c r="CN7" s="63"/>
      <c r="CO7" s="63"/>
      <c r="CP7" s="63"/>
      <c r="CQ7" s="63"/>
      <c r="CR7" s="63"/>
      <c r="CS7" s="63"/>
      <c r="CT7" s="63"/>
      <c r="CU7" s="63"/>
      <c r="CV7" s="63"/>
      <c r="CW7" s="63"/>
      <c r="CX7" s="63"/>
      <c r="CY7" s="63"/>
      <c r="CZ7" s="63"/>
      <c r="DA7" s="63"/>
      <c r="DB7" s="63"/>
      <c r="DC7" s="63"/>
      <c r="DD7" s="63"/>
      <c r="DE7" s="63"/>
      <c r="DF7" s="63"/>
      <c r="DG7" s="63"/>
      <c r="DH7" s="63"/>
      <c r="DI7" s="63"/>
      <c r="DJ7" s="63"/>
      <c r="DK7" s="63"/>
      <c r="DL7" s="63"/>
      <c r="DM7" s="63"/>
      <c r="DN7" s="63"/>
      <c r="DO7" s="63"/>
      <c r="DP7" s="63"/>
      <c r="DQ7" s="63"/>
      <c r="DR7" s="63"/>
      <c r="DS7" s="63"/>
      <c r="DT7" s="63"/>
      <c r="DU7" s="63"/>
      <c r="DV7" s="63"/>
      <c r="DW7" s="63"/>
      <c r="DX7" s="63"/>
      <c r="DY7" s="63"/>
      <c r="DZ7" s="63"/>
      <c r="EA7" s="63"/>
      <c r="EB7" s="63"/>
      <c r="EC7" s="63"/>
      <c r="ED7" s="63"/>
    </row>
    <row r="8" spans="1:134" s="3" customFormat="1" ht="21.75" thickBot="1" x14ac:dyDescent="0.3">
      <c r="A8" s="18"/>
      <c r="B8" s="25" t="s">
        <v>57</v>
      </c>
      <c r="C8" s="26"/>
      <c r="D8" s="27"/>
      <c r="E8" s="28"/>
      <c r="F8" s="29"/>
      <c r="G8" s="24"/>
      <c r="H8" s="24" t="str">
        <f t="shared" si="7"/>
        <v/>
      </c>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c r="BN8" s="63"/>
      <c r="BO8" s="63"/>
      <c r="BP8" s="63"/>
      <c r="BQ8" s="63"/>
      <c r="BR8" s="63"/>
      <c r="BS8" s="63"/>
      <c r="BT8" s="63"/>
      <c r="BU8" s="63"/>
      <c r="BV8" s="63"/>
      <c r="BW8" s="63"/>
      <c r="BX8" s="63"/>
      <c r="BY8" s="63"/>
      <c r="BZ8" s="63"/>
      <c r="CA8" s="63"/>
      <c r="CB8" s="63"/>
      <c r="CC8" s="63"/>
      <c r="CD8" s="63"/>
      <c r="CE8" s="63"/>
      <c r="CF8" s="63"/>
      <c r="CG8" s="63"/>
      <c r="CH8" s="63"/>
      <c r="CI8" s="63"/>
      <c r="CJ8" s="63"/>
      <c r="CK8" s="63"/>
      <c r="CL8" s="63"/>
      <c r="CM8" s="63"/>
      <c r="CN8" s="63"/>
      <c r="CO8" s="63"/>
      <c r="CP8" s="63"/>
      <c r="CQ8" s="63"/>
      <c r="CR8" s="63"/>
      <c r="CS8" s="63"/>
      <c r="CT8" s="63"/>
      <c r="CU8" s="63"/>
      <c r="CV8" s="63"/>
      <c r="CW8" s="63"/>
      <c r="CX8" s="63"/>
      <c r="CY8" s="63"/>
      <c r="CZ8" s="63"/>
      <c r="DA8" s="63"/>
      <c r="DB8" s="63"/>
      <c r="DC8" s="63"/>
      <c r="DD8" s="63"/>
      <c r="DE8" s="63"/>
      <c r="DF8" s="63"/>
      <c r="DG8" s="63"/>
      <c r="DH8" s="63"/>
      <c r="DI8" s="63"/>
      <c r="DJ8" s="63"/>
      <c r="DK8" s="63"/>
      <c r="DL8" s="63"/>
      <c r="DM8" s="63"/>
      <c r="DN8" s="63"/>
      <c r="DO8" s="63"/>
      <c r="DP8" s="63"/>
      <c r="DQ8" s="63"/>
      <c r="DR8" s="63"/>
      <c r="DS8" s="63"/>
      <c r="DT8" s="63"/>
      <c r="DU8" s="63"/>
      <c r="DV8" s="63"/>
      <c r="DW8" s="63"/>
      <c r="DX8" s="63"/>
      <c r="DY8" s="63"/>
      <c r="DZ8" s="63"/>
      <c r="EA8" s="63"/>
      <c r="EB8" s="63"/>
      <c r="EC8" s="63"/>
      <c r="ED8" s="63"/>
    </row>
    <row r="9" spans="1:134" s="3" customFormat="1" ht="21.75" thickBot="1" x14ac:dyDescent="0.3">
      <c r="A9" s="18"/>
      <c r="B9" s="30" t="s">
        <v>58</v>
      </c>
      <c r="C9" s="31"/>
      <c r="D9" s="32">
        <v>0</v>
      </c>
      <c r="E9" s="82">
        <v>45313</v>
      </c>
      <c r="F9" s="83">
        <v>45313</v>
      </c>
      <c r="G9" s="24"/>
      <c r="H9" s="24">
        <f t="shared" si="7"/>
        <v>1</v>
      </c>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c r="BN9" s="63"/>
      <c r="BO9" s="63"/>
      <c r="BP9" s="63"/>
      <c r="BQ9" s="63"/>
      <c r="BR9" s="63"/>
      <c r="BS9" s="63"/>
      <c r="BT9" s="63"/>
      <c r="BU9" s="63"/>
      <c r="BV9" s="63"/>
      <c r="BW9" s="63"/>
      <c r="BX9" s="63"/>
      <c r="BY9" s="63"/>
      <c r="BZ9" s="63"/>
      <c r="CA9" s="63"/>
      <c r="CB9" s="63"/>
      <c r="CC9" s="63"/>
      <c r="CD9" s="63"/>
      <c r="CE9" s="63"/>
      <c r="CF9" s="63"/>
      <c r="CG9" s="63"/>
      <c r="CH9" s="63"/>
      <c r="CI9" s="63"/>
      <c r="CJ9" s="63"/>
      <c r="CK9" s="63"/>
      <c r="CL9" s="63"/>
      <c r="CM9" s="63"/>
      <c r="CN9" s="63"/>
      <c r="CO9" s="63"/>
      <c r="CP9" s="63"/>
      <c r="CQ9" s="63"/>
      <c r="CR9" s="63"/>
      <c r="CS9" s="63"/>
      <c r="CT9" s="63"/>
      <c r="CU9" s="63"/>
      <c r="CV9" s="63"/>
      <c r="CW9" s="63"/>
      <c r="CX9" s="63"/>
      <c r="CY9" s="63"/>
      <c r="CZ9" s="63"/>
      <c r="DA9" s="63"/>
      <c r="DB9" s="63"/>
      <c r="DC9" s="63"/>
      <c r="DD9" s="63"/>
      <c r="DE9" s="63"/>
      <c r="DF9" s="63"/>
      <c r="DG9" s="63"/>
      <c r="DH9" s="63"/>
      <c r="DI9" s="63"/>
      <c r="DJ9" s="63"/>
      <c r="DK9" s="63"/>
      <c r="DL9" s="63"/>
      <c r="DM9" s="63"/>
      <c r="DN9" s="63"/>
      <c r="DO9" s="63"/>
      <c r="DP9" s="63"/>
      <c r="DQ9" s="63"/>
      <c r="DR9" s="63"/>
      <c r="DS9" s="63"/>
      <c r="DT9" s="63"/>
      <c r="DU9" s="63"/>
      <c r="DV9" s="63"/>
      <c r="DW9" s="63"/>
      <c r="DX9" s="63"/>
      <c r="DY9" s="63"/>
      <c r="DZ9" s="63"/>
      <c r="EA9" s="63"/>
      <c r="EB9" s="63"/>
      <c r="EC9" s="63"/>
      <c r="ED9" s="63"/>
    </row>
    <row r="10" spans="1:134" s="3" customFormat="1" ht="21.75" thickBot="1" x14ac:dyDescent="0.3">
      <c r="A10" s="18"/>
      <c r="B10" s="19"/>
      <c r="C10" s="20"/>
      <c r="D10" s="21"/>
      <c r="E10" s="22"/>
      <c r="F10" s="23"/>
      <c r="G10" s="24"/>
      <c r="H10" s="24" t="str">
        <f t="shared" si="7"/>
        <v/>
      </c>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c r="BN10" s="63"/>
      <c r="BO10" s="63"/>
      <c r="BP10" s="63"/>
      <c r="BQ10" s="63"/>
      <c r="BR10" s="63"/>
      <c r="BS10" s="63"/>
      <c r="BT10" s="63"/>
      <c r="BU10" s="63"/>
      <c r="BV10" s="63"/>
      <c r="BW10" s="63"/>
      <c r="BX10" s="63"/>
      <c r="BY10" s="63"/>
      <c r="BZ10" s="63"/>
      <c r="CA10" s="63"/>
      <c r="CB10" s="63"/>
      <c r="CC10" s="63"/>
      <c r="CD10" s="63"/>
      <c r="CE10" s="63"/>
      <c r="CF10" s="63"/>
      <c r="CG10" s="63"/>
      <c r="CH10" s="63"/>
      <c r="CI10" s="63"/>
      <c r="CJ10" s="63"/>
      <c r="CK10" s="63"/>
      <c r="CL10" s="63"/>
      <c r="CM10" s="63"/>
      <c r="CN10" s="63"/>
      <c r="CO10" s="63"/>
      <c r="CP10" s="63"/>
      <c r="CQ10" s="63"/>
      <c r="CR10" s="63"/>
      <c r="CS10" s="63"/>
      <c r="CT10" s="63"/>
      <c r="CU10" s="63"/>
      <c r="CV10" s="63"/>
      <c r="CW10" s="63"/>
      <c r="CX10" s="63"/>
      <c r="CY10" s="63"/>
      <c r="CZ10" s="63"/>
      <c r="DA10" s="63"/>
      <c r="DB10" s="63"/>
      <c r="DC10" s="63"/>
      <c r="DD10" s="63"/>
      <c r="DE10" s="63"/>
      <c r="DF10" s="63"/>
      <c r="DG10" s="63"/>
      <c r="DH10" s="63"/>
      <c r="DI10" s="63"/>
      <c r="DJ10" s="63"/>
      <c r="DK10" s="63"/>
      <c r="DL10" s="63"/>
      <c r="DM10" s="63"/>
      <c r="DN10" s="63"/>
      <c r="DO10" s="63"/>
      <c r="DP10" s="63"/>
      <c r="DQ10" s="63"/>
      <c r="DR10" s="63"/>
      <c r="DS10" s="63"/>
      <c r="DT10" s="63"/>
      <c r="DU10" s="63"/>
      <c r="DV10" s="63"/>
      <c r="DW10" s="63"/>
      <c r="DX10" s="63"/>
      <c r="DY10" s="63"/>
      <c r="DZ10" s="63"/>
      <c r="EA10" s="63"/>
      <c r="EB10" s="63"/>
      <c r="EC10" s="63"/>
      <c r="ED10" s="63"/>
    </row>
    <row r="11" spans="1:134" s="3" customFormat="1" ht="21.75" thickBot="1" x14ac:dyDescent="0.3">
      <c r="A11" s="18"/>
      <c r="B11" s="19"/>
      <c r="C11" s="20"/>
      <c r="D11" s="21"/>
      <c r="E11" s="22"/>
      <c r="F11" s="23"/>
      <c r="G11" s="24"/>
      <c r="H11" s="24" t="str">
        <f t="shared" si="7"/>
        <v/>
      </c>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c r="BN11" s="63"/>
      <c r="BO11" s="63"/>
      <c r="BP11" s="63"/>
      <c r="BQ11" s="63"/>
      <c r="BR11" s="63"/>
      <c r="BS11" s="63"/>
      <c r="BT11" s="63"/>
      <c r="BU11" s="63"/>
      <c r="BV11" s="63"/>
      <c r="BW11" s="63"/>
      <c r="BX11" s="63"/>
      <c r="BY11" s="63"/>
      <c r="BZ11" s="63"/>
      <c r="CA11" s="63"/>
      <c r="CB11" s="63"/>
      <c r="CC11" s="63"/>
      <c r="CD11" s="63"/>
      <c r="CE11" s="63"/>
      <c r="CF11" s="63"/>
      <c r="CG11" s="63"/>
      <c r="CH11" s="63"/>
      <c r="CI11" s="63"/>
      <c r="CJ11" s="63"/>
      <c r="CK11" s="63"/>
      <c r="CL11" s="63"/>
      <c r="CM11" s="63"/>
      <c r="CN11" s="63"/>
      <c r="CO11" s="63"/>
      <c r="CP11" s="63"/>
      <c r="CQ11" s="63"/>
      <c r="CR11" s="63"/>
      <c r="CS11" s="63"/>
      <c r="CT11" s="63"/>
      <c r="CU11" s="63"/>
      <c r="CV11" s="63"/>
      <c r="CW11" s="63"/>
      <c r="CX11" s="63"/>
      <c r="CY11" s="63"/>
      <c r="CZ11" s="63"/>
      <c r="DA11" s="63"/>
      <c r="DB11" s="63"/>
      <c r="DC11" s="63"/>
      <c r="DD11" s="63"/>
      <c r="DE11" s="63"/>
      <c r="DF11" s="63"/>
      <c r="DG11" s="63"/>
      <c r="DH11" s="63"/>
      <c r="DI11" s="63"/>
      <c r="DJ11" s="63"/>
      <c r="DK11" s="63"/>
      <c r="DL11" s="63"/>
      <c r="DM11" s="63"/>
      <c r="DN11" s="63"/>
      <c r="DO11" s="63"/>
      <c r="DP11" s="63"/>
      <c r="DQ11" s="63"/>
      <c r="DR11" s="63"/>
      <c r="DS11" s="63"/>
      <c r="DT11" s="63"/>
      <c r="DU11" s="63"/>
      <c r="DV11" s="63"/>
      <c r="DW11" s="63"/>
      <c r="DX11" s="63"/>
      <c r="DY11" s="63"/>
      <c r="DZ11" s="63"/>
      <c r="EA11" s="63"/>
      <c r="EB11" s="63"/>
      <c r="EC11" s="63"/>
      <c r="ED11" s="63"/>
    </row>
    <row r="12" spans="1:134" s="3" customFormat="1" ht="21.75" thickBot="1" x14ac:dyDescent="0.3">
      <c r="A12" s="18"/>
      <c r="B12" s="19"/>
      <c r="C12" s="20"/>
      <c r="D12" s="21"/>
      <c r="E12" s="22"/>
      <c r="F12" s="23"/>
      <c r="G12" s="24"/>
      <c r="H12" s="24" t="str">
        <f t="shared" si="7"/>
        <v/>
      </c>
      <c r="I12" s="63"/>
      <c r="J12" s="63"/>
      <c r="K12" s="63"/>
      <c r="L12" s="63"/>
      <c r="M12" s="63"/>
      <c r="N12" s="63"/>
      <c r="O12" s="63"/>
      <c r="P12" s="63"/>
      <c r="Q12" s="63"/>
      <c r="R12" s="63"/>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3"/>
      <c r="CG12" s="63"/>
      <c r="CH12" s="63"/>
      <c r="CI12" s="63"/>
      <c r="CJ12" s="63"/>
      <c r="CK12" s="63"/>
      <c r="CL12" s="63"/>
      <c r="CM12" s="63"/>
      <c r="CN12" s="63"/>
      <c r="CO12" s="63"/>
      <c r="CP12" s="63"/>
      <c r="CQ12" s="63"/>
      <c r="CR12" s="63"/>
      <c r="CS12" s="63"/>
      <c r="CT12" s="63"/>
      <c r="CU12" s="63"/>
      <c r="CV12" s="63"/>
      <c r="CW12" s="63"/>
      <c r="CX12" s="63"/>
      <c r="CY12" s="63"/>
      <c r="CZ12" s="63"/>
      <c r="DA12" s="63"/>
      <c r="DB12" s="63"/>
      <c r="DC12" s="63"/>
      <c r="DD12" s="63"/>
      <c r="DE12" s="63"/>
      <c r="DF12" s="63"/>
      <c r="DG12" s="63"/>
      <c r="DH12" s="63"/>
      <c r="DI12" s="63"/>
      <c r="DJ12" s="63"/>
      <c r="DK12" s="63"/>
      <c r="DL12" s="63"/>
      <c r="DM12" s="63"/>
      <c r="DN12" s="63"/>
      <c r="DO12" s="63"/>
      <c r="DP12" s="63"/>
      <c r="DQ12" s="63"/>
      <c r="DR12" s="63"/>
      <c r="DS12" s="63"/>
      <c r="DT12" s="63"/>
      <c r="DU12" s="63"/>
      <c r="DV12" s="63"/>
      <c r="DW12" s="63"/>
      <c r="DX12" s="63"/>
      <c r="DY12" s="63"/>
      <c r="DZ12" s="63"/>
      <c r="EA12" s="63"/>
      <c r="EB12" s="63"/>
      <c r="EC12" s="63"/>
      <c r="ED12" s="63"/>
    </row>
    <row r="13" spans="1:134" s="3" customFormat="1" ht="21.75" thickBot="1" x14ac:dyDescent="0.3">
      <c r="A13" s="18"/>
      <c r="B13" s="57" t="s">
        <v>40</v>
      </c>
      <c r="C13" s="58"/>
      <c r="D13" s="59"/>
      <c r="E13" s="60"/>
      <c r="F13" s="61"/>
      <c r="G13" s="62"/>
      <c r="H13" s="62" t="str">
        <f t="shared" si="7"/>
        <v/>
      </c>
      <c r="I13" s="65"/>
      <c r="J13" s="65"/>
      <c r="K13" s="65"/>
      <c r="L13" s="65"/>
      <c r="M13" s="65"/>
      <c r="N13" s="65"/>
      <c r="O13" s="65"/>
      <c r="P13" s="65"/>
      <c r="Q13" s="65"/>
      <c r="R13" s="65"/>
      <c r="S13" s="65"/>
      <c r="T13" s="65"/>
      <c r="U13" s="65"/>
      <c r="V13" s="65"/>
      <c r="W13" s="65"/>
      <c r="X13" s="65"/>
      <c r="Y13" s="65"/>
      <c r="Z13" s="65"/>
      <c r="AA13" s="65"/>
      <c r="AB13" s="65"/>
      <c r="AC13" s="65"/>
      <c r="AD13" s="65"/>
      <c r="AE13" s="65"/>
      <c r="AF13" s="65"/>
      <c r="AG13" s="65"/>
      <c r="AH13" s="65"/>
      <c r="AI13" s="65"/>
      <c r="AJ13" s="65"/>
      <c r="AK13" s="65"/>
      <c r="AL13" s="65"/>
      <c r="AM13" s="65"/>
      <c r="AN13" s="65"/>
      <c r="AO13" s="65"/>
      <c r="AP13" s="65"/>
      <c r="AQ13" s="65"/>
      <c r="AR13" s="65"/>
      <c r="AS13" s="65"/>
      <c r="AT13" s="65"/>
      <c r="AU13" s="65"/>
      <c r="AV13" s="65"/>
      <c r="AW13" s="65"/>
      <c r="AX13" s="65"/>
      <c r="AY13" s="65"/>
      <c r="AZ13" s="65"/>
      <c r="BA13" s="65"/>
      <c r="BB13" s="65"/>
      <c r="BC13" s="65"/>
      <c r="BD13" s="65"/>
      <c r="BE13" s="65"/>
      <c r="BF13" s="65"/>
      <c r="BG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row>
    <row r="14" spans="1:134" x14ac:dyDescent="0.25">
      <c r="A14" s="6"/>
      <c r="G14" s="6"/>
    </row>
    <row r="15" spans="1:134" x14ac:dyDescent="0.25">
      <c r="B15" s="16"/>
      <c r="C15" s="16"/>
      <c r="F15" s="76"/>
    </row>
    <row r="16" spans="1:134" x14ac:dyDescent="0.25">
      <c r="B16" s="80"/>
      <c r="C16" s="17"/>
    </row>
    <row r="17" spans="2:2" x14ac:dyDescent="0.25">
      <c r="B17" s="79"/>
    </row>
  </sheetData>
  <mergeCells count="21">
    <mergeCell ref="I1:N1"/>
    <mergeCell ref="DJ4:DP4"/>
    <mergeCell ref="DQ4:DW4"/>
    <mergeCell ref="DX4:ED4"/>
    <mergeCell ref="BT4:BZ4"/>
    <mergeCell ref="CA4:CG4"/>
    <mergeCell ref="CH4:CN4"/>
    <mergeCell ref="CO4:CU4"/>
    <mergeCell ref="CV4:DB4"/>
    <mergeCell ref="DC4:DI4"/>
    <mergeCell ref="BM4:BS4"/>
    <mergeCell ref="E2:F2"/>
    <mergeCell ref="E3:F3"/>
    <mergeCell ref="I4:O4"/>
    <mergeCell ref="P4:V4"/>
    <mergeCell ref="W4:AC4"/>
    <mergeCell ref="AD4:AJ4"/>
    <mergeCell ref="AK4:AQ4"/>
    <mergeCell ref="AR4:AX4"/>
    <mergeCell ref="AY4:BE4"/>
    <mergeCell ref="BF4:BL4"/>
  </mergeCells>
  <conditionalFormatting sqref="D7:D13">
    <cfRule type="dataBar" priority="4">
      <dataBar>
        <cfvo type="num" val="0"/>
        <cfvo type="num" val="1"/>
        <color theme="0" tint="-0.249977111117893"/>
      </dataBar>
      <extLst>
        <ext xmlns:x14="http://schemas.microsoft.com/office/spreadsheetml/2009/9/main" uri="{B025F937-C7B1-47D3-B67F-A62EFF666E3E}">
          <x14:id>{2B8DD2A7-7F0D-4D7A-800F-264A62699E3E}</x14:id>
        </ext>
      </extLst>
    </cfRule>
  </conditionalFormatting>
  <conditionalFormatting sqref="I5:ED13">
    <cfRule type="expression" dxfId="2" priority="3">
      <formula>AND(today&gt;=I$5,today&lt;I$5+1)</formula>
    </cfRule>
  </conditionalFormatting>
  <conditionalFormatting sqref="I7:ED13">
    <cfRule type="expression" dxfId="1" priority="1">
      <formula>AND(task_start&lt;=I$5,ROUNDDOWN((task_end-task_start+1)*task_progress,0)+task_start-1&gt;=I$5)</formula>
    </cfRule>
    <cfRule type="expression" dxfId="0" priority="2"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4E9029D4-CD9F-4ECE-A3C5-29F5A30290A8}">
      <formula1>1</formula1>
    </dataValidation>
  </dataValidations>
  <pageMargins left="0.35" right="0.35" top="0.35" bottom="0.5" header="0.3" footer="0.3"/>
  <pageSetup scale="62" fitToHeight="0" orientation="landscape" r:id="rId1"/>
  <headerFooter scaleWithDoc="0"/>
  <legacyDrawing r:id="rId2"/>
  <extLst>
    <ext xmlns:x14="http://schemas.microsoft.com/office/spreadsheetml/2009/9/main" uri="{78C0D931-6437-407d-A8EE-F0AAD7539E65}">
      <x14:conditionalFormattings>
        <x14:conditionalFormatting xmlns:xm="http://schemas.microsoft.com/office/excel/2006/main">
          <x14:cfRule type="dataBar" id="{2B8DD2A7-7F0D-4D7A-800F-264A62699E3E}">
            <x14:dataBar minLength="0" maxLength="100" gradient="0">
              <x14:cfvo type="num">
                <xm:f>0</xm:f>
              </x14:cfvo>
              <x14:cfvo type="num">
                <xm:f>1</xm:f>
              </x14:cfvo>
              <x14:negativeFillColor rgb="FFFF0000"/>
              <x14:axisColor rgb="FF000000"/>
            </x14:dataBar>
          </x14:cfRule>
          <xm:sqref>D7:D13</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ColWidth="9.140625" defaultRowHeight="12.75" x14ac:dyDescent="0.2"/>
  <cols>
    <col min="1" max="1" width="2.85546875" style="2" customWidth="1"/>
    <col min="2" max="2" width="87.140625" style="66" customWidth="1"/>
    <col min="3" max="16384" width="9.140625" style="2"/>
  </cols>
  <sheetData>
    <row r="1" spans="2:3" ht="46.5" customHeight="1" x14ac:dyDescent="0.2"/>
    <row r="2" spans="2:3" s="68" customFormat="1" ht="15.75" x14ac:dyDescent="0.25">
      <c r="B2" s="67" t="s">
        <v>41</v>
      </c>
      <c r="C2" s="67"/>
    </row>
    <row r="3" spans="2:3" s="70" customFormat="1" ht="13.5" customHeight="1" x14ac:dyDescent="0.25">
      <c r="B3" s="69" t="s">
        <v>42</v>
      </c>
      <c r="C3" s="69"/>
    </row>
    <row r="4" spans="2:3" x14ac:dyDescent="0.2">
      <c r="B4" s="78" t="s">
        <v>43</v>
      </c>
    </row>
    <row r="6" spans="2:3" s="71" customFormat="1" ht="26.25" x14ac:dyDescent="0.4">
      <c r="B6" s="73" t="s">
        <v>44</v>
      </c>
    </row>
    <row r="7" spans="2:3" ht="60" x14ac:dyDescent="0.2">
      <c r="B7" s="74" t="s">
        <v>45</v>
      </c>
    </row>
    <row r="8" spans="2:3" ht="15" x14ac:dyDescent="0.2">
      <c r="B8" s="72"/>
    </row>
    <row r="9" spans="2:3" s="71" customFormat="1" ht="26.25" x14ac:dyDescent="0.4">
      <c r="B9" s="73" t="s">
        <v>46</v>
      </c>
    </row>
    <row r="10" spans="2:3" ht="60" x14ac:dyDescent="0.2">
      <c r="B10" s="74" t="s">
        <v>47</v>
      </c>
    </row>
    <row r="11" spans="2:3" ht="14.25" x14ac:dyDescent="0.2">
      <c r="B11" s="75" t="s">
        <v>48</v>
      </c>
    </row>
    <row r="12" spans="2:3" ht="15" x14ac:dyDescent="0.2">
      <c r="B12" s="72"/>
    </row>
    <row r="13" spans="2:3" ht="14.25" x14ac:dyDescent="0.2">
      <c r="B13" s="81" t="str">
        <f>HYPERLINK("https://vertex42.link/HowToMakeAGanttChart","► Watch How This Gantt Chart Was Created")</f>
        <v>► Watch How This Gantt Chart Was Created</v>
      </c>
    </row>
    <row r="14" spans="2:3" ht="15" x14ac:dyDescent="0.2">
      <c r="B14" s="72"/>
    </row>
    <row r="15" spans="2:3" s="71" customFormat="1" ht="26.25" x14ac:dyDescent="0.4">
      <c r="B15" s="73" t="s">
        <v>49</v>
      </c>
    </row>
    <row r="16" spans="2:3" ht="30" x14ac:dyDescent="0.2">
      <c r="B16" s="74" t="s">
        <v>50</v>
      </c>
    </row>
    <row r="17" spans="2:2" ht="14.25" x14ac:dyDescent="0.2">
      <c r="B17" s="75" t="s">
        <v>51</v>
      </c>
    </row>
    <row r="18" spans="2:2" ht="15" x14ac:dyDescent="0.2">
      <c r="B18" s="72"/>
    </row>
    <row r="19" spans="2:2" s="71" customFormat="1" ht="26.25" x14ac:dyDescent="0.4">
      <c r="B19" s="73" t="s">
        <v>52</v>
      </c>
    </row>
    <row r="20" spans="2:2" ht="60" x14ac:dyDescent="0.2">
      <c r="B20" s="74" t="s">
        <v>53</v>
      </c>
    </row>
    <row r="21" spans="2:2" ht="15" x14ac:dyDescent="0.2">
      <c r="B21" s="72"/>
    </row>
    <row r="22" spans="2:2" ht="75" x14ac:dyDescent="0.2">
      <c r="B22" s="74" t="s">
        <v>54</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11F958EFF73B4E920C8082752A490B" ma:contentTypeVersion="6" ma:contentTypeDescription="Create a new document." ma:contentTypeScope="" ma:versionID="85aa576cf9c17ca2e0f1a30e6e67bbb3">
  <xsd:schema xmlns:xsd="http://www.w3.org/2001/XMLSchema" xmlns:xs="http://www.w3.org/2001/XMLSchema" xmlns:p="http://schemas.microsoft.com/office/2006/metadata/properties" xmlns:ns2="b81456b5-7c0f-4d1c-b385-3efbfc765b90" xmlns:ns3="de686bc5-c6fe-44eb-97ca-94c2bc412ba8" targetNamespace="http://schemas.microsoft.com/office/2006/metadata/properties" ma:root="true" ma:fieldsID="bf1bc94718bc413db49a4eb80dc07342" ns2:_="" ns3:_="">
    <xsd:import namespace="b81456b5-7c0f-4d1c-b385-3efbfc765b90"/>
    <xsd:import namespace="de686bc5-c6fe-44eb-97ca-94c2bc412ba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1456b5-7c0f-4d1c-b385-3efbfc765b9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e686bc5-c6fe-44eb-97ca-94c2bc412ba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b81456b5-7c0f-4d1c-b385-3efbfc765b90">
      <UserInfo>
        <DisplayName>Leonard Dea</DisplayName>
        <AccountId>12</AccountId>
        <AccountType/>
      </UserInfo>
      <UserInfo>
        <DisplayName>George Chapman</DisplayName>
        <AccountId>17</AccountId>
        <AccountType/>
      </UserInfo>
      <UserInfo>
        <DisplayName>Ryan King</DisplayName>
        <AccountId>18</AccountId>
        <AccountType/>
      </UserInfo>
    </SharedWithUsers>
  </documentManagement>
</p:properties>
</file>

<file path=customXml/itemProps1.xml><?xml version="1.0" encoding="utf-8"?>
<ds:datastoreItem xmlns:ds="http://schemas.openxmlformats.org/officeDocument/2006/customXml" ds:itemID="{7BD40D7B-7E95-4EAA-BA51-0240CAC0F886}">
  <ds:schemaRefs>
    <ds:schemaRef ds:uri="http://schemas.microsoft.com/sharepoint/v3/contenttype/forms"/>
  </ds:schemaRefs>
</ds:datastoreItem>
</file>

<file path=customXml/itemProps2.xml><?xml version="1.0" encoding="utf-8"?>
<ds:datastoreItem xmlns:ds="http://schemas.openxmlformats.org/officeDocument/2006/customXml" ds:itemID="{D4170952-B01F-4A24-B2EB-671EC546F8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1456b5-7c0f-4d1c-b385-3efbfc765b90"/>
    <ds:schemaRef ds:uri="de686bc5-c6fe-44eb-97ca-94c2bc412ba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A276C7-047D-4802-84F6-FE7D4CFC4CEE}">
  <ds:schemaRefs>
    <ds:schemaRef ds:uri="http://schemas.microsoft.com/office/2006/metadata/properties"/>
    <ds:schemaRef ds:uri="http://schemas.microsoft.com/office/infopath/2007/PartnerControls"/>
    <ds:schemaRef ds:uri="b81456b5-7c0f-4d1c-b385-3efbfc765b9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12</vt:i4>
      </vt:variant>
    </vt:vector>
  </HeadingPairs>
  <TitlesOfParts>
    <vt:vector size="17" baseType="lpstr">
      <vt:lpstr>Projects</vt:lpstr>
      <vt:lpstr>Instructions</vt:lpstr>
      <vt:lpstr>Atlantic Packaging</vt:lpstr>
      <vt:lpstr>Template</vt:lpstr>
      <vt:lpstr>About</vt:lpstr>
      <vt:lpstr>'Atlantic Packaging'!Print_Area</vt:lpstr>
      <vt:lpstr>Template!Print_Area</vt:lpstr>
      <vt:lpstr>'Atlantic Packaging'!Print_Titles</vt:lpstr>
      <vt:lpstr>Template!Print_Titles</vt:lpstr>
      <vt:lpstr>'Atlantic Packaging'!task_end</vt:lpstr>
      <vt:lpstr>Template!task_end</vt:lpstr>
      <vt:lpstr>'Atlantic Packaging'!task_progress</vt:lpstr>
      <vt:lpstr>Template!task_progress</vt:lpstr>
      <vt:lpstr>'Atlantic Packaging'!task_start</vt:lpstr>
      <vt:lpstr>Template!task_start</vt:lpstr>
      <vt:lpstr>'Atlantic Packaging'!today</vt:lpstr>
      <vt:lpstr>Template!today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subject/>
  <dc:creator>Vertex42.com</dc:creator>
  <cp:keywords/>
  <dc:description>© 2018-2019 Vertex42 LLC. All Rights Reserved.</dc:description>
  <cp:lastModifiedBy>Hayden Barker</cp:lastModifiedBy>
  <cp:revision/>
  <dcterms:created xsi:type="dcterms:W3CDTF">2017-01-09T18:01:51Z</dcterms:created>
  <dcterms:modified xsi:type="dcterms:W3CDTF">2026-10-22T12:56:01Z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ContentTypeId">
    <vt:lpwstr>0x0101001511F958EFF73B4E920C8082752A490B</vt:lpwstr>
  </property>
</Properties>
</file>