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6"/>
  <workbookPr codeName="ThisWorkbook"/>
  <mc:AlternateContent xmlns:mc="http://schemas.openxmlformats.org/markup-compatibility/2006">
    <mc:Choice Requires="x15">
      <x15ac:absPath xmlns:x15ac="http://schemas.microsoft.com/office/spreadsheetml/2010/11/ac" url="https://ideanetworksinc.sharepoint.com/sites/IdeaNetworksSales/Shared Documents/General/Sales/Clients/Atlantic Packaging/"/>
    </mc:Choice>
  </mc:AlternateContent>
  <xr:revisionPtr revIDLastSave="214" documentId="13_ncr:1_{C15A8955-7B1F-455A-892B-1D9480BF8452}" xr6:coauthVersionLast="47" xr6:coauthVersionMax="47" xr10:uidLastSave="{54B91D55-3A9C-47D2-AF62-FB19902B5BB2}"/>
  <bookViews>
    <workbookView xWindow="-108" yWindow="-108" windowWidth="23256" windowHeight="13896" xr2:uid="{00000000-000D-0000-FFFF-FFFF00000000}"/>
  </bookViews>
  <sheets>
    <sheet name="ProjectSchedule" sheetId="11" r:id="rId1"/>
    <sheet name="About" sheetId="12" r:id="rId2"/>
  </sheets>
  <definedNames>
    <definedName name="_xlnm.Print_Area" localSheetId="0">ProjectSchedule!$1:$48</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<sst xmlns="http://schemas.openxmlformats.org/spreadsheetml/2006/main" count="61" uniqueCount="55">
  <si>
    <t>Atlantic Packaging Network Install</t>
  </si>
  <si>
    <t>Idea Networks</t>
  </si>
  <si>
    <t>Project Start:</t>
  </si>
  <si>
    <t>Ryan King</t>
  </si>
  <si>
    <t>Today:</t>
  </si>
  <si>
    <t>Progress Invoice</t>
  </si>
  <si>
    <t>Progress invoice</t>
  </si>
  <si>
    <t>Completion Invoice</t>
  </si>
  <si>
    <t>Display Week:</t>
  </si>
  <si>
    <t>TASK</t>
  </si>
  <si>
    <t>ASSIGNED
TO</t>
  </si>
  <si>
    <t>PROGRESS</t>
  </si>
  <si>
    <t>START</t>
  </si>
  <si>
    <t>END</t>
  </si>
  <si>
    <t>DAYS</t>
  </si>
  <si>
    <t>Pre-Installation Coordination</t>
  </si>
  <si>
    <t>Confirm Cabinet Locations &amp; CO Approval</t>
  </si>
  <si>
    <t>Order Material (Above Dependency)</t>
  </si>
  <si>
    <t>Print Site Drawings (Requested)</t>
  </si>
  <si>
    <t>Confirm Lift Availability</t>
  </si>
  <si>
    <t>Confirm and Schedule Manpower</t>
  </si>
  <si>
    <t>Site Review</t>
  </si>
  <si>
    <t>Cabinet Installation</t>
  </si>
  <si>
    <t>Planning and Preparation</t>
  </si>
  <si>
    <t>Cabinet 1&amp;2</t>
  </si>
  <si>
    <t>Cabinet 3&amp;4</t>
  </si>
  <si>
    <t>Cabinet 5 &amp; MDF Cabinets</t>
  </si>
  <si>
    <t>Cable Pathway</t>
  </si>
  <si>
    <t>Fiber Installation</t>
  </si>
  <si>
    <t>Rough In</t>
  </si>
  <si>
    <t>Termination</t>
  </si>
  <si>
    <t>Testing</t>
  </si>
  <si>
    <t>Clean Up Documentation</t>
  </si>
  <si>
    <t>Copper Installation</t>
  </si>
  <si>
    <t>Equipment Installation</t>
  </si>
  <si>
    <t>AP Deployment/Documentation</t>
  </si>
  <si>
    <t>IT Cabinet Equipment</t>
  </si>
  <si>
    <t>Clean and Remove Site tools</t>
  </si>
  <si>
    <t>Documentation</t>
  </si>
  <si>
    <t>Manufacturer Certification</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</si>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</sst>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mmm\ d\,\ yyyy"/>
    <numFmt numFmtId="166" formatCode="d"/>
    <numFmt numFmtId="167" formatCode="[$-F800]dddd\,\ mmmm\ dd\,\ yyyy"/>
  </numFmts>
  <fonts count="30">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249977111117893"/>
        <bgColor indexed="64"/>
      </patternFill>
    </fill>
    <fill>
      <patternFill patternType="solid">
        <fgColor theme="0"/>
        <bgColor indexed="6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1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6" fontId="12" fillId="8" borderId="0" xfId="0" applyNumberFormat="1" applyFont="1" applyFill="1" applyAlignment="1">
      <alignment horizontal="center" vertical="center"/>
    </xf>
    <xf numFmtId="166" fontId="12" fillId="8" borderId="8" xfId="0" applyNumberFormat="1" applyFont="1" applyFill="1" applyBorder="1" applyAlignment="1">
      <alignment horizontal="center" vertical="center"/>
    </xf>
    <xf numFmtId="166"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167" fontId="0" fillId="3" borderId="2" xfId="0" applyNumberFormat="1" applyFill="1" applyBorder="1" applyAlignment="1">
      <alignment horizontal="center" vertical="center"/>
    </xf>
    <xf numFmtId="167" fontId="5" fillId="3" borderId="2" xfId="0" applyNumberFormat="1" applyFont="1" applyFill="1" applyBorder="1" applyAlignment="1">
      <alignment horizontal="center" vertical="center"/>
    </xf>
    <xf numFmtId="167" fontId="0" fillId="4" borderId="2" xfId="0" applyNumberFormat="1" applyFill="1" applyBorder="1" applyAlignment="1">
      <alignment horizontal="center" vertical="center"/>
    </xf>
    <xf numFmtId="167" fontId="5" fillId="4" borderId="2" xfId="0" applyNumberFormat="1" applyFont="1" applyFill="1" applyBorder="1" applyAlignment="1">
      <alignment horizontal="center" vertical="center"/>
    </xf>
    <xf numFmtId="167" fontId="0" fillId="13" borderId="2" xfId="0" applyNumberFormat="1" applyFill="1" applyBorder="1" applyAlignment="1">
      <alignment horizontal="center" vertical="center"/>
    </xf>
    <xf numFmtId="167" fontId="0" fillId="11" borderId="2" xfId="0" applyNumberFormat="1" applyFill="1" applyBorder="1" applyAlignment="1">
      <alignment horizontal="center" vertical="center"/>
    </xf>
    <xf numFmtId="167" fontId="5" fillId="11" borderId="2" xfId="0" applyNumberFormat="1" applyFont="1" applyFill="1" applyBorder="1" applyAlignment="1">
      <alignment horizontal="center" vertical="center"/>
    </xf>
    <xf numFmtId="167" fontId="0" fillId="12" borderId="2" xfId="0" applyNumberFormat="1" applyFill="1" applyBorder="1" applyAlignment="1">
      <alignment horizontal="center" vertical="center"/>
    </xf>
    <xf numFmtId="167" fontId="5" fillId="12" borderId="2" xfId="0" applyNumberFormat="1" applyFont="1" applyFill="1" applyBorder="1" applyAlignment="1">
      <alignment horizontal="center" vertical="center"/>
    </xf>
    <xf numFmtId="0" fontId="6" fillId="3" borderId="2" xfId="0" applyFont="1" applyFill="1" applyBorder="1" applyAlignment="1">
      <alignment horizontal="left" vertical="center" indent="1"/>
    </xf>
    <xf numFmtId="0" fontId="6" fillId="3" borderId="2" xfId="0"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166" fontId="12" fillId="16" borderId="0" xfId="0" applyNumberFormat="1" applyFont="1" applyFill="1" applyAlignment="1">
      <alignment horizontal="center" vertical="center"/>
    </xf>
    <xf numFmtId="166" fontId="12" fillId="16" borderId="8" xfId="0" applyNumberFormat="1" applyFont="1" applyFill="1" applyBorder="1" applyAlignment="1">
      <alignment horizontal="center" vertical="center"/>
    </xf>
    <xf numFmtId="0" fontId="0" fillId="17" borderId="0" xfId="0" applyFill="1"/>
    <xf numFmtId="165" fontId="0" fillId="8" borderId="6" xfId="0" applyNumberFormat="1" applyFill="1" applyBorder="1" applyAlignment="1">
      <alignment horizontal="left" vertical="center" wrapText="1" indent="1"/>
    </xf>
    <xf numFmtId="165" fontId="0" fillId="8" borderId="1" xfId="0" applyNumberFormat="1" applyFill="1" applyBorder="1" applyAlignment="1">
      <alignment horizontal="left" vertical="center" wrapText="1" indent="1"/>
    </xf>
    <xf numFmtId="165"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xf numFmtId="167" fontId="0" fillId="0" borderId="4" xfId="0" applyNumberFormat="1" applyBorder="1" applyAlignment="1">
      <alignment horizontal="center" vertical="center"/>
    </xf>
    <xf numFmtId="167"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39">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secondRowStripe" dxfId="32"/>
      <tableStyleElement type="firstColumnStripe" dxfId="31"/>
      <tableStyleElement type="secondColumnStripe" dxfId="3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D52"/>
  <sheetViews>
    <sheetView showGridLines="0" tabSelected="1" showRuler="0" zoomScale="80" zoomScaleNormal="80" zoomScalePageLayoutView="70" workbookViewId="0">
      <pane ySplit="6" topLeftCell="A7" activePane="bottomLeft" state="frozen"/>
      <selection pane="bottomLeft" activeCell="AS3" sqref="AS3"/>
    </sheetView>
  </sheetViews>
  <sheetFormatPr defaultRowHeight="14.45"/>
  <cols>
    <col min="1" max="1" width="2.7109375" customWidth="1"/>
    <col min="2" max="2" width="32.28515625" customWidth="1"/>
    <col min="3" max="3" width="9.140625" customWidth="1"/>
    <col min="4" max="4" width="10.7109375" customWidth="1"/>
    <col min="5" max="5" width="29.85546875" style="5" customWidth="1"/>
    <col min="6" max="6" width="30.42578125" customWidth="1"/>
    <col min="7" max="7" width="2.7109375" customWidth="1"/>
    <col min="8" max="8" width="6.140625" hidden="1" customWidth="1"/>
    <col min="9" max="64" width="2.5703125" customWidth="1"/>
    <col min="65" max="134" width="3" customWidth="1"/>
  </cols>
  <sheetData>
    <row r="1" spans="1:134" ht="28.9">
      <c r="B1" s="16" t="s">
        <v>0</v>
      </c>
      <c r="C1" s="1"/>
      <c r="D1" s="2"/>
      <c r="E1" s="4"/>
      <c r="F1" s="86"/>
      <c r="H1" s="2"/>
      <c r="I1" s="8"/>
      <c r="J1" s="110"/>
      <c r="K1" s="110"/>
      <c r="L1" s="110"/>
      <c r="M1" s="110"/>
      <c r="N1" s="110"/>
      <c r="O1" s="110"/>
      <c r="P1" s="110"/>
      <c r="Q1" s="110"/>
      <c r="R1" s="110"/>
      <c r="S1" s="110"/>
      <c r="T1" s="110"/>
      <c r="U1" s="110"/>
      <c r="V1" s="110"/>
      <c r="W1" s="110"/>
      <c r="X1" s="110"/>
      <c r="Y1" s="110"/>
      <c r="Z1" s="110"/>
      <c r="AA1" s="110"/>
    </row>
    <row r="2" spans="1:134" ht="19.5" customHeight="1">
      <c r="B2" s="9" t="s">
        <v>1</v>
      </c>
      <c r="D2" s="6" t="s">
        <v>2</v>
      </c>
      <c r="E2" s="111">
        <v>45313</v>
      </c>
      <c r="F2" s="112"/>
    </row>
    <row r="3" spans="1:134" ht="19.5" customHeight="1">
      <c r="B3" s="9" t="s">
        <v>3</v>
      </c>
      <c r="D3" s="6" t="s">
        <v>4</v>
      </c>
      <c r="E3" s="111">
        <f ca="1">TODAY()</f>
        <v>45312</v>
      </c>
      <c r="F3" s="112"/>
      <c r="AS3" s="106" t="s">
        <v>5</v>
      </c>
      <c r="BT3" t="s">
        <v>6</v>
      </c>
      <c r="CO3" t="s">
        <v>7</v>
      </c>
    </row>
    <row r="4" spans="1:134" ht="19.5" customHeight="1">
      <c r="D4" s="6" t="s">
        <v>8</v>
      </c>
      <c r="E4" s="7">
        <v>1</v>
      </c>
      <c r="I4" s="107">
        <f>I5</f>
        <v>45313</v>
      </c>
      <c r="J4" s="108"/>
      <c r="K4" s="108"/>
      <c r="L4" s="108"/>
      <c r="M4" s="108"/>
      <c r="N4" s="108"/>
      <c r="O4" s="109"/>
      <c r="P4" s="107">
        <f>P5</f>
        <v>45320</v>
      </c>
      <c r="Q4" s="108"/>
      <c r="R4" s="108"/>
      <c r="S4" s="108"/>
      <c r="T4" s="108"/>
      <c r="U4" s="108"/>
      <c r="V4" s="109"/>
      <c r="W4" s="107">
        <f>W5</f>
        <v>45327</v>
      </c>
      <c r="X4" s="108"/>
      <c r="Y4" s="108"/>
      <c r="Z4" s="108"/>
      <c r="AA4" s="108"/>
      <c r="AB4" s="108"/>
      <c r="AC4" s="109"/>
      <c r="AD4" s="107">
        <f>AD5</f>
        <v>45334</v>
      </c>
      <c r="AE4" s="108"/>
      <c r="AF4" s="108"/>
      <c r="AG4" s="108"/>
      <c r="AH4" s="108"/>
      <c r="AI4" s="108"/>
      <c r="AJ4" s="109"/>
      <c r="AK4" s="107">
        <f>AK5</f>
        <v>45341</v>
      </c>
      <c r="AL4" s="108"/>
      <c r="AM4" s="108"/>
      <c r="AN4" s="108"/>
      <c r="AO4" s="108"/>
      <c r="AP4" s="108"/>
      <c r="AQ4" s="109"/>
      <c r="AR4" s="107">
        <f>AR5</f>
        <v>45348</v>
      </c>
      <c r="AS4" s="108"/>
      <c r="AT4" s="108"/>
      <c r="AU4" s="108"/>
      <c r="AV4" s="108"/>
      <c r="AW4" s="108"/>
      <c r="AX4" s="109"/>
      <c r="AY4" s="107">
        <f>AY5</f>
        <v>45355</v>
      </c>
      <c r="AZ4" s="108"/>
      <c r="BA4" s="108"/>
      <c r="BB4" s="108"/>
      <c r="BC4" s="108"/>
      <c r="BD4" s="108"/>
      <c r="BE4" s="109"/>
      <c r="BF4" s="107">
        <f>BF5</f>
        <v>45362</v>
      </c>
      <c r="BG4" s="108"/>
      <c r="BH4" s="108"/>
      <c r="BI4" s="108"/>
      <c r="BJ4" s="108"/>
      <c r="BK4" s="108"/>
      <c r="BL4" s="109"/>
      <c r="BM4" s="107">
        <f>BM5</f>
        <v>45369</v>
      </c>
      <c r="BN4" s="108"/>
      <c r="BO4" s="108"/>
      <c r="BP4" s="108"/>
      <c r="BQ4" s="108"/>
      <c r="BR4" s="108"/>
      <c r="BS4" s="109"/>
      <c r="BT4" s="107">
        <f>BT5</f>
        <v>45376</v>
      </c>
      <c r="BU4" s="108"/>
      <c r="BV4" s="108"/>
      <c r="BW4" s="108"/>
      <c r="BX4" s="108"/>
      <c r="BY4" s="108"/>
      <c r="BZ4" s="109"/>
      <c r="CA4" s="107">
        <f>CA5</f>
        <v>45383</v>
      </c>
      <c r="CB4" s="108"/>
      <c r="CC4" s="108"/>
      <c r="CD4" s="108"/>
      <c r="CE4" s="108"/>
      <c r="CF4" s="108"/>
      <c r="CG4" s="109"/>
      <c r="CH4" s="107">
        <f>CH5</f>
        <v>45390</v>
      </c>
      <c r="CI4" s="108"/>
      <c r="CJ4" s="108"/>
      <c r="CK4" s="108"/>
      <c r="CL4" s="108"/>
      <c r="CM4" s="108"/>
      <c r="CN4" s="109"/>
      <c r="CO4" s="107">
        <f>CO5</f>
        <v>45397</v>
      </c>
      <c r="CP4" s="108"/>
      <c r="CQ4" s="108"/>
      <c r="CR4" s="108"/>
      <c r="CS4" s="108"/>
      <c r="CT4" s="108"/>
      <c r="CU4" s="109"/>
      <c r="CV4" s="107">
        <f>CV5</f>
        <v>45404</v>
      </c>
      <c r="CW4" s="108"/>
      <c r="CX4" s="108"/>
      <c r="CY4" s="108"/>
      <c r="CZ4" s="108"/>
      <c r="DA4" s="108"/>
      <c r="DB4" s="109"/>
      <c r="DC4" s="107">
        <f>DC5</f>
        <v>45411</v>
      </c>
      <c r="DD4" s="108"/>
      <c r="DE4" s="108"/>
      <c r="DF4" s="108"/>
      <c r="DG4" s="108"/>
      <c r="DH4" s="108"/>
      <c r="DI4" s="109"/>
      <c r="DJ4" s="107">
        <f>DJ5</f>
        <v>45418</v>
      </c>
      <c r="DK4" s="108"/>
      <c r="DL4" s="108"/>
      <c r="DM4" s="108"/>
      <c r="DN4" s="108"/>
      <c r="DO4" s="108"/>
      <c r="DP4" s="109"/>
      <c r="DQ4" s="107">
        <f>DQ5</f>
        <v>45425</v>
      </c>
      <c r="DR4" s="108"/>
      <c r="DS4" s="108"/>
      <c r="DT4" s="108"/>
      <c r="DU4" s="108"/>
      <c r="DV4" s="108"/>
      <c r="DW4" s="109"/>
      <c r="DX4" s="107">
        <f>DX5</f>
        <v>45432</v>
      </c>
      <c r="DY4" s="108"/>
      <c r="DZ4" s="108"/>
      <c r="EA4" s="108"/>
      <c r="EB4" s="108"/>
      <c r="EC4" s="108"/>
      <c r="ED4" s="109"/>
    </row>
    <row r="5" spans="1:134">
      <c r="A5" s="6"/>
      <c r="G5" s="6"/>
      <c r="I5" s="13">
        <f>E2-WEEKDAY(E2,1)+2+7*(E4-1)</f>
        <v>45313</v>
      </c>
      <c r="J5" s="12">
        <f>I5+1</f>
        <v>45314</v>
      </c>
      <c r="K5" s="12">
        <f t="shared" ref="K5:AX5" si="0">J5+1</f>
        <v>45315</v>
      </c>
      <c r="L5" s="12">
        <f t="shared" si="0"/>
        <v>45316</v>
      </c>
      <c r="M5" s="12">
        <f t="shared" si="0"/>
        <v>45317</v>
      </c>
      <c r="N5" s="12">
        <f t="shared" si="0"/>
        <v>45318</v>
      </c>
      <c r="O5" s="14">
        <f t="shared" si="0"/>
        <v>45319</v>
      </c>
      <c r="P5" s="13">
        <f>O5+1</f>
        <v>45320</v>
      </c>
      <c r="Q5" s="12">
        <f>P5+1</f>
        <v>45321</v>
      </c>
      <c r="R5" s="12">
        <f t="shared" si="0"/>
        <v>45322</v>
      </c>
      <c r="S5" s="12">
        <f t="shared" si="0"/>
        <v>45323</v>
      </c>
      <c r="T5" s="12">
        <f t="shared" si="0"/>
        <v>45324</v>
      </c>
      <c r="U5" s="12">
        <f t="shared" si="0"/>
        <v>45325</v>
      </c>
      <c r="V5" s="14">
        <f t="shared" si="0"/>
        <v>45326</v>
      </c>
      <c r="W5" s="13">
        <f>V5+1</f>
        <v>45327</v>
      </c>
      <c r="X5" s="12">
        <f>W5+1</f>
        <v>45328</v>
      </c>
      <c r="Y5" s="12">
        <f t="shared" si="0"/>
        <v>45329</v>
      </c>
      <c r="Z5" s="12">
        <f t="shared" si="0"/>
        <v>45330</v>
      </c>
      <c r="AA5" s="12">
        <f t="shared" si="0"/>
        <v>45331</v>
      </c>
      <c r="AB5" s="12">
        <f t="shared" si="0"/>
        <v>45332</v>
      </c>
      <c r="AC5" s="14">
        <f t="shared" si="0"/>
        <v>45333</v>
      </c>
      <c r="AD5" s="13">
        <f>AC5+1</f>
        <v>45334</v>
      </c>
      <c r="AE5" s="12">
        <f>AD5+1</f>
        <v>45335</v>
      </c>
      <c r="AF5" s="12">
        <f t="shared" si="0"/>
        <v>45336</v>
      </c>
      <c r="AG5" s="12">
        <f t="shared" si="0"/>
        <v>45337</v>
      </c>
      <c r="AH5" s="12">
        <f t="shared" si="0"/>
        <v>45338</v>
      </c>
      <c r="AI5" s="12">
        <f t="shared" si="0"/>
        <v>45339</v>
      </c>
      <c r="AJ5" s="14">
        <f t="shared" si="0"/>
        <v>45340</v>
      </c>
      <c r="AK5" s="13">
        <f>AJ5+1</f>
        <v>45341</v>
      </c>
      <c r="AL5" s="12">
        <f>AK5+1</f>
        <v>45342</v>
      </c>
      <c r="AM5" s="12">
        <f t="shared" si="0"/>
        <v>45343</v>
      </c>
      <c r="AN5" s="12">
        <f t="shared" si="0"/>
        <v>45344</v>
      </c>
      <c r="AO5" s="12">
        <f t="shared" si="0"/>
        <v>45345</v>
      </c>
      <c r="AP5" s="12">
        <f t="shared" si="0"/>
        <v>45346</v>
      </c>
      <c r="AQ5" s="14">
        <f t="shared" si="0"/>
        <v>45347</v>
      </c>
      <c r="AR5" s="13">
        <f>AQ5+1</f>
        <v>45348</v>
      </c>
      <c r="AS5" s="12">
        <f>AR5+1</f>
        <v>45349</v>
      </c>
      <c r="AT5" s="12">
        <f t="shared" si="0"/>
        <v>45350</v>
      </c>
      <c r="AU5" s="104">
        <f t="shared" si="0"/>
        <v>45351</v>
      </c>
      <c r="AV5" s="12">
        <f t="shared" si="0"/>
        <v>45352</v>
      </c>
      <c r="AW5" s="12">
        <f t="shared" si="0"/>
        <v>45353</v>
      </c>
      <c r="AX5" s="14">
        <f t="shared" si="0"/>
        <v>45354</v>
      </c>
      <c r="AY5" s="13">
        <f>AX5+1</f>
        <v>45355</v>
      </c>
      <c r="AZ5" s="12">
        <f>AY5+1</f>
        <v>45356</v>
      </c>
      <c r="BA5" s="12">
        <f t="shared" ref="BA5:BE5" si="1">AZ5+1</f>
        <v>45357</v>
      </c>
      <c r="BB5" s="12">
        <f t="shared" si="1"/>
        <v>45358</v>
      </c>
      <c r="BC5" s="12">
        <f t="shared" si="1"/>
        <v>45359</v>
      </c>
      <c r="BD5" s="12">
        <f t="shared" si="1"/>
        <v>45360</v>
      </c>
      <c r="BE5" s="14">
        <f t="shared" si="1"/>
        <v>45361</v>
      </c>
      <c r="BF5" s="13">
        <f>BE5+1</f>
        <v>45362</v>
      </c>
      <c r="BG5" s="12">
        <f>BF5+1</f>
        <v>45363</v>
      </c>
      <c r="BH5" s="12">
        <f t="shared" ref="BH5:BL5" si="2">BG5+1</f>
        <v>45364</v>
      </c>
      <c r="BI5" s="12">
        <f t="shared" si="2"/>
        <v>45365</v>
      </c>
      <c r="BJ5" s="12">
        <f t="shared" si="2"/>
        <v>45366</v>
      </c>
      <c r="BK5" s="12">
        <f t="shared" si="2"/>
        <v>45367</v>
      </c>
      <c r="BL5" s="14">
        <f t="shared" si="2"/>
        <v>45368</v>
      </c>
      <c r="BM5" s="13">
        <f>BL5+1</f>
        <v>45369</v>
      </c>
      <c r="BN5" s="12">
        <f>BM5+1</f>
        <v>45370</v>
      </c>
      <c r="BO5" s="12">
        <f t="shared" ref="BO5" si="3">BN5+1</f>
        <v>45371</v>
      </c>
      <c r="BP5" s="12">
        <f t="shared" ref="BP5" si="4">BO5+1</f>
        <v>45372</v>
      </c>
      <c r="BQ5" s="12">
        <f t="shared" ref="BQ5" si="5">BP5+1</f>
        <v>45373</v>
      </c>
      <c r="BR5" s="12">
        <f t="shared" ref="BR5" si="6">BQ5+1</f>
        <v>45374</v>
      </c>
      <c r="BS5" s="14">
        <f t="shared" ref="BS5" si="7">BR5+1</f>
        <v>45375</v>
      </c>
      <c r="BT5" s="13">
        <f>BS5+1</f>
        <v>45376</v>
      </c>
      <c r="BU5" s="12">
        <f>BT5+1</f>
        <v>45377</v>
      </c>
      <c r="BV5" s="12">
        <f>BU5+1</f>
        <v>45378</v>
      </c>
      <c r="BW5" s="12">
        <f>BV5+1</f>
        <v>45379</v>
      </c>
      <c r="BX5" s="104">
        <f>BW5+1</f>
        <v>45380</v>
      </c>
      <c r="BY5" s="12">
        <f>BX5+1</f>
        <v>45381</v>
      </c>
      <c r="BZ5" s="14">
        <f>BY5+1</f>
        <v>45382</v>
      </c>
      <c r="CA5" s="13">
        <f>BZ5+1</f>
        <v>45383</v>
      </c>
      <c r="CB5" s="12">
        <f>CA5+1</f>
        <v>45384</v>
      </c>
      <c r="CC5" s="12">
        <f>CB5+1</f>
        <v>45385</v>
      </c>
      <c r="CD5" s="12">
        <f>CC5+1</f>
        <v>45386</v>
      </c>
      <c r="CE5" s="12">
        <f>CD5+1</f>
        <v>45387</v>
      </c>
      <c r="CF5" s="12">
        <f>CE5+1</f>
        <v>45388</v>
      </c>
      <c r="CG5" s="14">
        <f>CF5+1</f>
        <v>45389</v>
      </c>
      <c r="CH5" s="13">
        <f>CG5+1</f>
        <v>45390</v>
      </c>
      <c r="CI5" s="12">
        <f>CH5+1</f>
        <v>45391</v>
      </c>
      <c r="CJ5" s="12">
        <f>CI5+1</f>
        <v>45392</v>
      </c>
      <c r="CK5" s="12">
        <f>CJ5+1</f>
        <v>45393</v>
      </c>
      <c r="CL5" s="12">
        <f>CK5+1</f>
        <v>45394</v>
      </c>
      <c r="CM5" s="12">
        <f>CL5+1</f>
        <v>45395</v>
      </c>
      <c r="CN5" s="14">
        <f>CM5+1</f>
        <v>45396</v>
      </c>
      <c r="CO5" s="105">
        <f>CN5+1</f>
        <v>45397</v>
      </c>
      <c r="CP5" s="12">
        <f>CO5+1</f>
        <v>45398</v>
      </c>
      <c r="CQ5" s="12">
        <f>CP5+1</f>
        <v>45399</v>
      </c>
      <c r="CR5" s="12">
        <f>CQ5+1</f>
        <v>45400</v>
      </c>
      <c r="CS5" s="12">
        <f>CR5+1</f>
        <v>45401</v>
      </c>
      <c r="CT5" s="12">
        <f>CS5+1</f>
        <v>45402</v>
      </c>
      <c r="CU5" s="14">
        <f>CT5+1</f>
        <v>45403</v>
      </c>
      <c r="CV5" s="13">
        <f>CU5+1</f>
        <v>45404</v>
      </c>
      <c r="CW5" s="12">
        <f>CV5+1</f>
        <v>45405</v>
      </c>
      <c r="CX5" s="12">
        <f>CW5+1</f>
        <v>45406</v>
      </c>
      <c r="CY5" s="12">
        <f>CX5+1</f>
        <v>45407</v>
      </c>
      <c r="CZ5" s="12">
        <f>CY5+1</f>
        <v>45408</v>
      </c>
      <c r="DA5" s="12">
        <f>CZ5+1</f>
        <v>45409</v>
      </c>
      <c r="DB5" s="14">
        <f>DA5+1</f>
        <v>45410</v>
      </c>
      <c r="DC5" s="13">
        <f>DB5+1</f>
        <v>45411</v>
      </c>
      <c r="DD5" s="12">
        <f>DC5+1</f>
        <v>45412</v>
      </c>
      <c r="DE5" s="12">
        <f>DD5+1</f>
        <v>45413</v>
      </c>
      <c r="DF5" s="12">
        <f>DE5+1</f>
        <v>45414</v>
      </c>
      <c r="DG5" s="12">
        <f>DF5+1</f>
        <v>45415</v>
      </c>
      <c r="DH5" s="12">
        <f>DG5+1</f>
        <v>45416</v>
      </c>
      <c r="DI5" s="14">
        <f>DH5+1</f>
        <v>45417</v>
      </c>
      <c r="DJ5" s="13">
        <f>DI5+1</f>
        <v>45418</v>
      </c>
      <c r="DK5" s="12">
        <f>DJ5+1</f>
        <v>45419</v>
      </c>
      <c r="DL5" s="12">
        <f>DK5+1</f>
        <v>45420</v>
      </c>
      <c r="DM5" s="12">
        <f>DL5+1</f>
        <v>45421</v>
      </c>
      <c r="DN5" s="12">
        <f>DM5+1</f>
        <v>45422</v>
      </c>
      <c r="DO5" s="12">
        <f>DN5+1</f>
        <v>45423</v>
      </c>
      <c r="DP5" s="14">
        <f>DO5+1</f>
        <v>45424</v>
      </c>
      <c r="DQ5" s="13">
        <f>DP5+1</f>
        <v>45425</v>
      </c>
      <c r="DR5" s="12">
        <f>DQ5+1</f>
        <v>45426</v>
      </c>
      <c r="DS5" s="12">
        <f>DR5+1</f>
        <v>45427</v>
      </c>
      <c r="DT5" s="12">
        <f>DS5+1</f>
        <v>45428</v>
      </c>
      <c r="DU5" s="12">
        <f>DT5+1</f>
        <v>45429</v>
      </c>
      <c r="DV5" s="12">
        <f>DU5+1</f>
        <v>45430</v>
      </c>
      <c r="DW5" s="14">
        <f>DV5+1</f>
        <v>45431</v>
      </c>
      <c r="DX5" s="13">
        <f>DW5+1</f>
        <v>45432</v>
      </c>
      <c r="DY5" s="12">
        <f>DX5+1</f>
        <v>45433</v>
      </c>
      <c r="DZ5" s="12">
        <f>DY5+1</f>
        <v>45434</v>
      </c>
      <c r="EA5" s="12">
        <f>DZ5+1</f>
        <v>45435</v>
      </c>
      <c r="EB5" s="12">
        <f>EA5+1</f>
        <v>45436</v>
      </c>
      <c r="EC5" s="12">
        <f>EB5+1</f>
        <v>45437</v>
      </c>
      <c r="ED5" s="14">
        <f>EC5+1</f>
        <v>45438</v>
      </c>
    </row>
    <row r="6" spans="1:134" ht="29.25" customHeight="1" thickBot="1">
      <c r="A6" s="19"/>
      <c r="B6" s="10" t="s">
        <v>9</v>
      </c>
      <c r="C6" s="11" t="s">
        <v>10</v>
      </c>
      <c r="D6" s="11" t="s">
        <v>11</v>
      </c>
      <c r="E6" s="11" t="s">
        <v>12</v>
      </c>
      <c r="F6" s="11" t="s">
        <v>13</v>
      </c>
      <c r="G6" s="11"/>
      <c r="H6" s="11" t="s">
        <v>14</v>
      </c>
      <c r="I6" s="15" t="str">
        <f t="shared" ref="I6" si="8">LEFT(TEXT(I5,"ddd"),1)</f>
        <v>M</v>
      </c>
      <c r="J6" s="15" t="str">
        <f t="shared" ref="J6:AR6" si="9">LEFT(TEXT(J5,"ddd"),1)</f>
        <v>T</v>
      </c>
      <c r="K6" s="15" t="str">
        <f t="shared" si="9"/>
        <v>W</v>
      </c>
      <c r="L6" s="15" t="str">
        <f t="shared" si="9"/>
        <v>T</v>
      </c>
      <c r="M6" s="15" t="str">
        <f t="shared" si="9"/>
        <v>F</v>
      </c>
      <c r="N6" s="15" t="str">
        <f t="shared" si="9"/>
        <v>S</v>
      </c>
      <c r="O6" s="15" t="str">
        <f t="shared" si="9"/>
        <v>S</v>
      </c>
      <c r="P6" s="15" t="str">
        <f t="shared" si="9"/>
        <v>M</v>
      </c>
      <c r="Q6" s="15" t="str">
        <f t="shared" si="9"/>
        <v>T</v>
      </c>
      <c r="R6" s="15" t="str">
        <f t="shared" si="9"/>
        <v>W</v>
      </c>
      <c r="S6" s="15" t="str">
        <f t="shared" si="9"/>
        <v>T</v>
      </c>
      <c r="T6" s="15" t="str">
        <f t="shared" si="9"/>
        <v>F</v>
      </c>
      <c r="U6" s="15" t="str">
        <f t="shared" si="9"/>
        <v>S</v>
      </c>
      <c r="V6" s="15" t="str">
        <f t="shared" si="9"/>
        <v>S</v>
      </c>
      <c r="W6" s="15" t="str">
        <f t="shared" si="9"/>
        <v>M</v>
      </c>
      <c r="X6" s="15" t="str">
        <f t="shared" si="9"/>
        <v>T</v>
      </c>
      <c r="Y6" s="15" t="str">
        <f t="shared" si="9"/>
        <v>W</v>
      </c>
      <c r="Z6" s="15" t="str">
        <f t="shared" si="9"/>
        <v>T</v>
      </c>
      <c r="AA6" s="15" t="str">
        <f t="shared" si="9"/>
        <v>F</v>
      </c>
      <c r="AB6" s="15" t="str">
        <f t="shared" si="9"/>
        <v>S</v>
      </c>
      <c r="AC6" s="15" t="str">
        <f t="shared" si="9"/>
        <v>S</v>
      </c>
      <c r="AD6" s="15" t="str">
        <f t="shared" si="9"/>
        <v>M</v>
      </c>
      <c r="AE6" s="15" t="str">
        <f t="shared" si="9"/>
        <v>T</v>
      </c>
      <c r="AF6" s="15" t="str">
        <f t="shared" si="9"/>
        <v>W</v>
      </c>
      <c r="AG6" s="15" t="str">
        <f t="shared" si="9"/>
        <v>T</v>
      </c>
      <c r="AH6" s="15" t="str">
        <f t="shared" si="9"/>
        <v>F</v>
      </c>
      <c r="AI6" s="15" t="str">
        <f t="shared" si="9"/>
        <v>S</v>
      </c>
      <c r="AJ6" s="15" t="str">
        <f t="shared" si="9"/>
        <v>S</v>
      </c>
      <c r="AK6" s="15" t="str">
        <f t="shared" si="9"/>
        <v>M</v>
      </c>
      <c r="AL6" s="15" t="str">
        <f t="shared" si="9"/>
        <v>T</v>
      </c>
      <c r="AM6" s="15" t="str">
        <f t="shared" si="9"/>
        <v>W</v>
      </c>
      <c r="AN6" s="15" t="str">
        <f t="shared" si="9"/>
        <v>T</v>
      </c>
      <c r="AO6" s="15" t="str">
        <f t="shared" si="9"/>
        <v>F</v>
      </c>
      <c r="AP6" s="15" t="str">
        <f t="shared" si="9"/>
        <v>S</v>
      </c>
      <c r="AQ6" s="15" t="str">
        <f t="shared" si="9"/>
        <v>S</v>
      </c>
      <c r="AR6" s="15" t="str">
        <f t="shared" si="9"/>
        <v>M</v>
      </c>
      <c r="AS6" s="15" t="str">
        <f t="shared" ref="AS6:BL6" si="10">LEFT(TEXT(AS5,"ddd"),1)</f>
        <v>T</v>
      </c>
      <c r="AT6" s="15" t="str">
        <f t="shared" si="10"/>
        <v>W</v>
      </c>
      <c r="AU6" s="15" t="str">
        <f t="shared" si="10"/>
        <v>T</v>
      </c>
      <c r="AV6" s="15" t="str">
        <f t="shared" si="10"/>
        <v>F</v>
      </c>
      <c r="AW6" s="15" t="str">
        <f t="shared" si="10"/>
        <v>S</v>
      </c>
      <c r="AX6" s="15" t="str">
        <f t="shared" si="10"/>
        <v>S</v>
      </c>
      <c r="AY6" s="15" t="str">
        <f t="shared" si="10"/>
        <v>M</v>
      </c>
      <c r="AZ6" s="15" t="str">
        <f t="shared" si="10"/>
        <v>T</v>
      </c>
      <c r="BA6" s="15" t="str">
        <f t="shared" si="10"/>
        <v>W</v>
      </c>
      <c r="BB6" s="15" t="str">
        <f t="shared" si="10"/>
        <v>T</v>
      </c>
      <c r="BC6" s="15" t="str">
        <f t="shared" si="10"/>
        <v>F</v>
      </c>
      <c r="BD6" s="15" t="str">
        <f t="shared" si="10"/>
        <v>S</v>
      </c>
      <c r="BE6" s="15" t="str">
        <f t="shared" si="10"/>
        <v>S</v>
      </c>
      <c r="BF6" s="15" t="str">
        <f t="shared" si="10"/>
        <v>M</v>
      </c>
      <c r="BG6" s="15" t="str">
        <f t="shared" si="10"/>
        <v>T</v>
      </c>
      <c r="BH6" s="15" t="str">
        <f t="shared" si="10"/>
        <v>W</v>
      </c>
      <c r="BI6" s="15" t="str">
        <f t="shared" si="10"/>
        <v>T</v>
      </c>
      <c r="BJ6" s="15" t="str">
        <f t="shared" si="10"/>
        <v>F</v>
      </c>
      <c r="BK6" s="15" t="str">
        <f t="shared" si="10"/>
        <v>S</v>
      </c>
      <c r="BL6" s="15" t="str">
        <f t="shared" si="10"/>
        <v>S</v>
      </c>
      <c r="BM6" s="15" t="str">
        <f t="shared" ref="BM6:BS6" si="11">LEFT(TEXT(BM5,"ddd"),1)</f>
        <v>M</v>
      </c>
      <c r="BN6" s="15" t="str">
        <f t="shared" si="11"/>
        <v>T</v>
      </c>
      <c r="BO6" s="15" t="str">
        <f t="shared" si="11"/>
        <v>W</v>
      </c>
      <c r="BP6" s="15" t="str">
        <f t="shared" si="11"/>
        <v>T</v>
      </c>
      <c r="BQ6" s="15" t="str">
        <f t="shared" si="11"/>
        <v>F</v>
      </c>
      <c r="BR6" s="15" t="str">
        <f t="shared" si="11"/>
        <v>S</v>
      </c>
      <c r="BS6" s="15" t="str">
        <f t="shared" si="11"/>
        <v>S</v>
      </c>
      <c r="BT6" s="15" t="str">
        <f>LEFT(TEXT(BT5,"ddd"),1)</f>
        <v>M</v>
      </c>
      <c r="BU6" s="15" t="str">
        <f>LEFT(TEXT(BU5,"ddd"),1)</f>
        <v>T</v>
      </c>
      <c r="BV6" s="15" t="str">
        <f>LEFT(TEXT(BV5,"ddd"),1)</f>
        <v>W</v>
      </c>
      <c r="BW6" s="15" t="str">
        <f>LEFT(TEXT(BW5,"ddd"),1)</f>
        <v>T</v>
      </c>
      <c r="BX6" s="15" t="str">
        <f>LEFT(TEXT(BX5,"ddd"),1)</f>
        <v>F</v>
      </c>
      <c r="BY6" s="15" t="str">
        <f>LEFT(TEXT(BY5,"ddd"),1)</f>
        <v>S</v>
      </c>
      <c r="BZ6" s="15" t="str">
        <f>LEFT(TEXT(BZ5,"ddd"),1)</f>
        <v>S</v>
      </c>
      <c r="CA6" s="15" t="str">
        <f>LEFT(TEXT(CA5,"ddd"),1)</f>
        <v>M</v>
      </c>
      <c r="CB6" s="15" t="str">
        <f>LEFT(TEXT(CB5,"ddd"),1)</f>
        <v>T</v>
      </c>
      <c r="CC6" s="15" t="str">
        <f>LEFT(TEXT(CC5,"ddd"),1)</f>
        <v>W</v>
      </c>
      <c r="CD6" s="15" t="str">
        <f>LEFT(TEXT(CD5,"ddd"),1)</f>
        <v>T</v>
      </c>
      <c r="CE6" s="15" t="str">
        <f>LEFT(TEXT(CE5,"ddd"),1)</f>
        <v>F</v>
      </c>
      <c r="CF6" s="15" t="str">
        <f>LEFT(TEXT(CF5,"ddd"),1)</f>
        <v>S</v>
      </c>
      <c r="CG6" s="15" t="str">
        <f>LEFT(TEXT(CG5,"ddd"),1)</f>
        <v>S</v>
      </c>
      <c r="CH6" s="15" t="str">
        <f>LEFT(TEXT(CH5,"ddd"),1)</f>
        <v>M</v>
      </c>
      <c r="CI6" s="15" t="str">
        <f>LEFT(TEXT(CI5,"ddd"),1)</f>
        <v>T</v>
      </c>
      <c r="CJ6" s="15" t="str">
        <f>LEFT(TEXT(CJ5,"ddd"),1)</f>
        <v>W</v>
      </c>
      <c r="CK6" s="15" t="str">
        <f>LEFT(TEXT(CK5,"ddd"),1)</f>
        <v>T</v>
      </c>
      <c r="CL6" s="15" t="str">
        <f>LEFT(TEXT(CL5,"ddd"),1)</f>
        <v>F</v>
      </c>
      <c r="CM6" s="15" t="str">
        <f>LEFT(TEXT(CM5,"ddd"),1)</f>
        <v>S</v>
      </c>
      <c r="CN6" s="15" t="str">
        <f>LEFT(TEXT(CN5,"ddd"),1)</f>
        <v>S</v>
      </c>
      <c r="CO6" s="15" t="str">
        <f>LEFT(TEXT(CO5,"ddd"),1)</f>
        <v>M</v>
      </c>
      <c r="CP6" s="15" t="str">
        <f>LEFT(TEXT(CP5,"ddd"),1)</f>
        <v>T</v>
      </c>
      <c r="CQ6" s="15" t="str">
        <f>LEFT(TEXT(CQ5,"ddd"),1)</f>
        <v>W</v>
      </c>
      <c r="CR6" s="15" t="str">
        <f>LEFT(TEXT(CR5,"ddd"),1)</f>
        <v>T</v>
      </c>
      <c r="CS6" s="15" t="str">
        <f>LEFT(TEXT(CS5,"ddd"),1)</f>
        <v>F</v>
      </c>
      <c r="CT6" s="15" t="str">
        <f>LEFT(TEXT(CT5,"ddd"),1)</f>
        <v>S</v>
      </c>
      <c r="CU6" s="15" t="str">
        <f>LEFT(TEXT(CU5,"ddd"),1)</f>
        <v>S</v>
      </c>
      <c r="CV6" s="15" t="str">
        <f>LEFT(TEXT(CV5,"ddd"),1)</f>
        <v>M</v>
      </c>
      <c r="CW6" s="15" t="str">
        <f>LEFT(TEXT(CW5,"ddd"),1)</f>
        <v>T</v>
      </c>
      <c r="CX6" s="15" t="str">
        <f>LEFT(TEXT(CX5,"ddd"),1)</f>
        <v>W</v>
      </c>
      <c r="CY6" s="15" t="str">
        <f>LEFT(TEXT(CY5,"ddd"),1)</f>
        <v>T</v>
      </c>
      <c r="CZ6" s="15" t="str">
        <f>LEFT(TEXT(CZ5,"ddd"),1)</f>
        <v>F</v>
      </c>
      <c r="DA6" s="15" t="str">
        <f>LEFT(TEXT(DA5,"ddd"),1)</f>
        <v>S</v>
      </c>
      <c r="DB6" s="15" t="str">
        <f>LEFT(TEXT(DB5,"ddd"),1)</f>
        <v>S</v>
      </c>
      <c r="DC6" s="15" t="str">
        <f>LEFT(TEXT(DC5,"ddd"),1)</f>
        <v>M</v>
      </c>
      <c r="DD6" s="15" t="str">
        <f>LEFT(TEXT(DD5,"ddd"),1)</f>
        <v>T</v>
      </c>
      <c r="DE6" s="15" t="str">
        <f>LEFT(TEXT(DE5,"ddd"),1)</f>
        <v>W</v>
      </c>
      <c r="DF6" s="15" t="str">
        <f>LEFT(TEXT(DF5,"ddd"),1)</f>
        <v>T</v>
      </c>
      <c r="DG6" s="15" t="str">
        <f>LEFT(TEXT(DG5,"ddd"),1)</f>
        <v>F</v>
      </c>
      <c r="DH6" s="15" t="str">
        <f>LEFT(TEXT(DH5,"ddd"),1)</f>
        <v>S</v>
      </c>
      <c r="DI6" s="15" t="str">
        <f>LEFT(TEXT(DI5,"ddd"),1)</f>
        <v>S</v>
      </c>
      <c r="DJ6" s="15" t="str">
        <f>LEFT(TEXT(DJ5,"ddd"),1)</f>
        <v>M</v>
      </c>
      <c r="DK6" s="15" t="str">
        <f>LEFT(TEXT(DK5,"ddd"),1)</f>
        <v>T</v>
      </c>
      <c r="DL6" s="15" t="str">
        <f>LEFT(TEXT(DL5,"ddd"),1)</f>
        <v>W</v>
      </c>
      <c r="DM6" s="15" t="str">
        <f>LEFT(TEXT(DM5,"ddd"),1)</f>
        <v>T</v>
      </c>
      <c r="DN6" s="15" t="str">
        <f>LEFT(TEXT(DN5,"ddd"),1)</f>
        <v>F</v>
      </c>
      <c r="DO6" s="15" t="str">
        <f>LEFT(TEXT(DO5,"ddd"),1)</f>
        <v>S</v>
      </c>
      <c r="DP6" s="15" t="str">
        <f>LEFT(TEXT(DP5,"ddd"),1)</f>
        <v>S</v>
      </c>
      <c r="DQ6" s="15" t="str">
        <f>LEFT(TEXT(DQ5,"ddd"),1)</f>
        <v>M</v>
      </c>
      <c r="DR6" s="15" t="str">
        <f>LEFT(TEXT(DR5,"ddd"),1)</f>
        <v>T</v>
      </c>
      <c r="DS6" s="15" t="str">
        <f>LEFT(TEXT(DS5,"ddd"),1)</f>
        <v>W</v>
      </c>
      <c r="DT6" s="15" t="str">
        <f>LEFT(TEXT(DT5,"ddd"),1)</f>
        <v>T</v>
      </c>
      <c r="DU6" s="15" t="str">
        <f>LEFT(TEXT(DU5,"ddd"),1)</f>
        <v>F</v>
      </c>
      <c r="DV6" s="15" t="str">
        <f>LEFT(TEXT(DV5,"ddd"),1)</f>
        <v>S</v>
      </c>
      <c r="DW6" s="15" t="str">
        <f>LEFT(TEXT(DW5,"ddd"),1)</f>
        <v>S</v>
      </c>
      <c r="DX6" s="15" t="str">
        <f>LEFT(TEXT(DX5,"ddd"),1)</f>
        <v>M</v>
      </c>
      <c r="DY6" s="15" t="str">
        <f>LEFT(TEXT(DY5,"ddd"),1)</f>
        <v>T</v>
      </c>
      <c r="DZ6" s="15" t="str">
        <f>LEFT(TEXT(DZ5,"ddd"),1)</f>
        <v>W</v>
      </c>
      <c r="EA6" s="15" t="str">
        <f>LEFT(TEXT(EA5,"ddd"),1)</f>
        <v>T</v>
      </c>
      <c r="EB6" s="15" t="str">
        <f>LEFT(TEXT(EB5,"ddd"),1)</f>
        <v>F</v>
      </c>
      <c r="EC6" s="15" t="str">
        <f>LEFT(TEXT(EC5,"ddd"),1)</f>
        <v>S</v>
      </c>
      <c r="ED6" s="15" t="str">
        <f>LEFT(TEXT(ED5,"ddd"),1)</f>
        <v>S</v>
      </c>
    </row>
    <row r="7" spans="1:134" s="3" customFormat="1" ht="21.6" thickBot="1">
      <c r="A7" s="19"/>
      <c r="B7" s="20"/>
      <c r="C7" s="21"/>
      <c r="D7" s="22"/>
      <c r="E7" s="23"/>
      <c r="F7" s="24"/>
      <c r="G7" s="25"/>
      <c r="H7" s="25" t="str">
        <f t="shared" ref="H7:H48" ca="1" si="12">IF(OR(ISBLANK(task_start),ISBLANK(task_end)),"",task_end-task_start+1)</f>
        <v/>
      </c>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c r="DE7" s="72"/>
      <c r="DF7" s="72"/>
      <c r="DG7" s="72"/>
      <c r="DH7" s="72"/>
      <c r="DI7" s="72"/>
      <c r="DJ7" s="72"/>
      <c r="DK7" s="72"/>
      <c r="DL7" s="72"/>
      <c r="DM7" s="72"/>
      <c r="DN7" s="72"/>
      <c r="DO7" s="72"/>
      <c r="DP7" s="72"/>
      <c r="DQ7" s="72"/>
      <c r="DR7" s="72"/>
      <c r="DS7" s="72"/>
      <c r="DT7" s="72"/>
      <c r="DU7" s="72"/>
      <c r="DV7" s="72"/>
      <c r="DW7" s="72"/>
      <c r="DX7" s="72"/>
      <c r="DY7" s="72"/>
      <c r="DZ7" s="72"/>
      <c r="EA7" s="72"/>
      <c r="EB7" s="72"/>
      <c r="EC7" s="72"/>
      <c r="ED7" s="72"/>
    </row>
    <row r="8" spans="1:134" s="3" customFormat="1" ht="21.6" thickBot="1">
      <c r="A8" s="19"/>
      <c r="B8" s="26" t="s">
        <v>15</v>
      </c>
      <c r="C8" s="27"/>
      <c r="D8" s="28"/>
      <c r="E8" s="29"/>
      <c r="F8" s="30"/>
      <c r="G8" s="25"/>
      <c r="H8" s="25" t="str">
        <f t="shared" ca="1" si="12"/>
        <v/>
      </c>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row>
    <row r="9" spans="1:134" s="3" customFormat="1" ht="21.6" thickBot="1">
      <c r="A9" s="19"/>
      <c r="B9" s="31" t="s">
        <v>16</v>
      </c>
      <c r="C9" s="32"/>
      <c r="D9" s="33">
        <v>0</v>
      </c>
      <c r="E9" s="91">
        <v>45313</v>
      </c>
      <c r="F9" s="92">
        <v>45324</v>
      </c>
      <c r="G9" s="25"/>
      <c r="H9" s="25">
        <f t="shared" ca="1" si="12"/>
        <v>12</v>
      </c>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row>
    <row r="10" spans="1:134" s="3" customFormat="1" ht="21.6" thickBot="1">
      <c r="A10" s="19"/>
      <c r="B10" s="31" t="s">
        <v>17</v>
      </c>
      <c r="C10" s="32"/>
      <c r="D10" s="33">
        <v>0</v>
      </c>
      <c r="E10" s="91">
        <v>45313</v>
      </c>
      <c r="F10" s="92">
        <v>45324</v>
      </c>
      <c r="G10" s="25"/>
      <c r="H10" s="25">
        <f t="shared" ca="1" si="12"/>
        <v>12</v>
      </c>
      <c r="I10" s="72"/>
      <c r="J10" s="72"/>
      <c r="K10" s="72"/>
      <c r="L10" s="72"/>
      <c r="M10" s="72"/>
      <c r="N10" s="72"/>
      <c r="O10" s="72"/>
      <c r="P10" s="72"/>
      <c r="Q10" s="72"/>
      <c r="R10" s="72"/>
      <c r="S10" s="72"/>
      <c r="T10" s="72"/>
      <c r="U10" s="73"/>
      <c r="V10" s="73"/>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72"/>
      <c r="DT10" s="72"/>
      <c r="DU10" s="72"/>
      <c r="DV10" s="72"/>
      <c r="DW10" s="72"/>
      <c r="DX10" s="72"/>
      <c r="DY10" s="72"/>
      <c r="DZ10" s="72"/>
      <c r="EA10" s="72"/>
      <c r="EB10" s="72"/>
      <c r="EC10" s="72"/>
      <c r="ED10" s="72"/>
    </row>
    <row r="11" spans="1:134" s="3" customFormat="1" ht="21.6" thickBot="1">
      <c r="A11" s="19"/>
      <c r="B11" s="31" t="s">
        <v>18</v>
      </c>
      <c r="C11" s="32"/>
      <c r="D11" s="33">
        <v>0</v>
      </c>
      <c r="E11" s="91">
        <v>45313</v>
      </c>
      <c r="F11" s="92">
        <v>45324</v>
      </c>
      <c r="G11" s="25"/>
      <c r="H11" s="25">
        <f t="shared" ca="1" si="12"/>
        <v>12</v>
      </c>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row>
    <row r="12" spans="1:134" s="3" customFormat="1" ht="21.6" thickBot="1">
      <c r="A12" s="19"/>
      <c r="B12" s="31" t="s">
        <v>19</v>
      </c>
      <c r="C12" s="32"/>
      <c r="D12" s="33">
        <v>0</v>
      </c>
      <c r="E12" s="91">
        <v>45313</v>
      </c>
      <c r="F12" s="92">
        <v>45324</v>
      </c>
      <c r="G12" s="25"/>
      <c r="H12" s="25">
        <f t="shared" ca="1" si="12"/>
        <v>12</v>
      </c>
      <c r="I12" s="72"/>
      <c r="J12" s="72"/>
      <c r="K12" s="72"/>
      <c r="L12" s="72"/>
      <c r="M12" s="72"/>
      <c r="N12" s="72"/>
      <c r="O12" s="72"/>
      <c r="P12" s="72"/>
      <c r="Q12" s="72"/>
      <c r="R12" s="72"/>
      <c r="S12" s="72"/>
      <c r="T12" s="72"/>
      <c r="U12" s="72"/>
      <c r="V12" s="72"/>
      <c r="W12" s="72"/>
      <c r="X12" s="72"/>
      <c r="Y12" s="73"/>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row>
    <row r="13" spans="1:134" s="3" customFormat="1" ht="21.6" thickBot="1">
      <c r="A13" s="19"/>
      <c r="B13" s="31" t="s">
        <v>20</v>
      </c>
      <c r="C13" s="32"/>
      <c r="D13" s="33">
        <v>0</v>
      </c>
      <c r="E13" s="91">
        <v>45313</v>
      </c>
      <c r="F13" s="92">
        <v>45324</v>
      </c>
      <c r="G13" s="25"/>
      <c r="H13" s="25">
        <f t="shared" ca="1" si="12"/>
        <v>12</v>
      </c>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row>
    <row r="14" spans="1:134" s="3" customFormat="1" ht="21.6" thickBot="1">
      <c r="A14" s="19"/>
      <c r="B14" s="31" t="s">
        <v>21</v>
      </c>
      <c r="C14" s="32"/>
      <c r="D14" s="33">
        <v>0</v>
      </c>
      <c r="E14" s="91">
        <v>45316</v>
      </c>
      <c r="F14" s="92">
        <v>45316</v>
      </c>
      <c r="G14" s="25"/>
      <c r="H14" s="25">
        <f ca="1">IF(OR(ISBLANK(task_start),ISBLANK(task_end)),"",task_end-task_start+1)</f>
      </c>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row>
    <row r="15" spans="1:134" s="3" customFormat="1" ht="21.6" thickBot="1">
      <c r="A15" s="19"/>
      <c r="B15" s="42" t="s">
        <v>22</v>
      </c>
      <c r="C15" s="43"/>
      <c r="D15" s="44"/>
      <c r="E15" s="45"/>
      <c r="F15" s="46"/>
      <c r="G15" s="25"/>
      <c r="H15" s="25">
        <f ca="1">IF(OR(ISBLANK(task_start),ISBLANK(task_end)),"",task_end-task_start+1)</f>
      </c>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row>
    <row r="16" spans="1:134" s="3" customFormat="1" ht="21.6" thickBot="1">
      <c r="A16" s="19"/>
      <c r="B16" s="47" t="s">
        <v>23</v>
      </c>
      <c r="C16" s="48"/>
      <c r="D16" s="49">
        <v>0</v>
      </c>
      <c r="E16" s="95">
        <v>45327</v>
      </c>
      <c r="F16" s="95">
        <v>45327</v>
      </c>
      <c r="G16" s="25"/>
      <c r="H16" s="25">
        <f ca="1">IF(OR(ISBLANK(task_start),ISBLANK(task_end)),"",task_end-task_start+1)</f>
      </c>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row>
    <row r="17" spans="1:134" s="3" customFormat="1" ht="21.6" thickBot="1">
      <c r="A17" s="19"/>
      <c r="B17" s="47" t="s">
        <v>24</v>
      </c>
      <c r="C17" s="48"/>
      <c r="D17" s="49">
        <v>0</v>
      </c>
      <c r="E17" s="95">
        <v>45328</v>
      </c>
      <c r="F17" s="95">
        <v>45328</v>
      </c>
      <c r="G17" s="25"/>
      <c r="H17" s="25">
        <f ca="1">IF(OR(ISBLANK(task_start),ISBLANK(task_end)),"",task_end-task_start+1)</f>
      </c>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row>
    <row r="18" spans="1:134" s="3" customFormat="1" ht="21.6" thickBot="1">
      <c r="A18" s="19"/>
      <c r="B18" s="47" t="s">
        <v>25</v>
      </c>
      <c r="C18" s="48"/>
      <c r="D18" s="49">
        <v>0</v>
      </c>
      <c r="E18" s="95">
        <v>45329</v>
      </c>
      <c r="F18" s="95">
        <v>45329</v>
      </c>
      <c r="G18" s="25"/>
      <c r="H18" s="25">
        <f ca="1">IF(OR(ISBLANK(task_start),ISBLANK(task_end)),"",task_end-task_start+1)</f>
      </c>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row>
    <row r="19" spans="1:134" s="3" customFormat="1" ht="21.6" thickBot="1">
      <c r="A19" s="19"/>
      <c r="B19" s="47" t="s">
        <v>26</v>
      </c>
      <c r="C19" s="48"/>
      <c r="D19" s="49">
        <v>0</v>
      </c>
      <c r="E19" s="95">
        <v>45330</v>
      </c>
      <c r="F19" s="95">
        <v>45330</v>
      </c>
      <c r="G19" s="25"/>
      <c r="H19" s="25">
        <f ca="1">IF(OR(ISBLANK(task_start),ISBLANK(task_end)),"",task_end-task_start+1)</f>
      </c>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row>
    <row r="20" spans="1:134" s="3" customFormat="1" ht="21.6" thickBot="1">
      <c r="A20" s="19"/>
      <c r="B20" s="47" t="s">
        <v>27</v>
      </c>
      <c r="C20" s="48"/>
      <c r="D20" s="49">
        <v>0</v>
      </c>
      <c r="E20" s="95">
        <v>45327</v>
      </c>
      <c r="F20" s="95">
        <v>45342</v>
      </c>
      <c r="G20" s="25"/>
      <c r="H20" s="25">
        <f ca="1">IF(OR(ISBLANK(task_start),ISBLANK(task_end)),"",task_end-task_start+1)</f>
      </c>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row>
    <row r="21" spans="1:134" s="3" customFormat="1" ht="21.6" thickBot="1">
      <c r="A21" s="19"/>
      <c r="B21" s="34" t="s">
        <v>28</v>
      </c>
      <c r="C21" s="35"/>
      <c r="D21" s="36"/>
      <c r="E21" s="37"/>
      <c r="F21" s="38"/>
      <c r="G21" s="25"/>
      <c r="H21" s="25" t="str">
        <f t="shared" ca="1" si="12"/>
        <v/>
      </c>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c r="EA21" s="72"/>
      <c r="EB21" s="72"/>
      <c r="EC21" s="72"/>
      <c r="ED21" s="72"/>
    </row>
    <row r="22" spans="1:134" s="3" customFormat="1" ht="21.6" thickBot="1">
      <c r="A22" s="19"/>
      <c r="B22" s="39" t="s">
        <v>23</v>
      </c>
      <c r="C22" s="40"/>
      <c r="D22" s="41">
        <v>0</v>
      </c>
      <c r="E22" s="93">
        <v>45329</v>
      </c>
      <c r="F22" s="94">
        <v>45329</v>
      </c>
      <c r="G22" s="25"/>
      <c r="H22" s="25">
        <f t="shared" ca="1" si="12"/>
        <v>1</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72"/>
      <c r="CZ22" s="72"/>
      <c r="DA22" s="72"/>
      <c r="DB22" s="72"/>
      <c r="DC22" s="72"/>
      <c r="DD22" s="72"/>
      <c r="DE22" s="72"/>
      <c r="DF22" s="72"/>
      <c r="DG22" s="72"/>
      <c r="DH22" s="72"/>
      <c r="DI22" s="72"/>
      <c r="DJ22" s="72"/>
      <c r="DK22" s="72"/>
      <c r="DL22" s="72"/>
      <c r="DM22" s="72"/>
      <c r="DN22" s="72"/>
      <c r="DO22" s="72"/>
      <c r="DP22" s="72"/>
      <c r="DQ22" s="72"/>
      <c r="DR22" s="72"/>
      <c r="DS22" s="72"/>
      <c r="DT22" s="72"/>
      <c r="DU22" s="72"/>
      <c r="DV22" s="72"/>
      <c r="DW22" s="72"/>
      <c r="DX22" s="72"/>
      <c r="DY22" s="72"/>
      <c r="DZ22" s="72"/>
      <c r="EA22" s="72"/>
      <c r="EB22" s="72"/>
      <c r="EC22" s="72"/>
      <c r="ED22" s="72"/>
    </row>
    <row r="23" spans="1:134" s="3" customFormat="1" ht="21.6" thickBot="1">
      <c r="A23" s="19"/>
      <c r="B23" s="39" t="s">
        <v>29</v>
      </c>
      <c r="C23" s="40"/>
      <c r="D23" s="41">
        <v>1E-3</v>
      </c>
      <c r="E23" s="93">
        <v>45330</v>
      </c>
      <c r="F23" s="94">
        <v>45341</v>
      </c>
      <c r="G23" s="25"/>
      <c r="H23" s="25">
        <f t="shared" ca="1" si="12"/>
        <v>12</v>
      </c>
      <c r="I23" s="72"/>
      <c r="J23" s="72"/>
      <c r="K23" s="72"/>
      <c r="L23" s="72"/>
      <c r="M23" s="72"/>
      <c r="N23" s="72"/>
      <c r="O23" s="72"/>
      <c r="P23" s="72"/>
      <c r="Q23" s="72"/>
      <c r="R23" s="72"/>
      <c r="S23" s="72"/>
      <c r="T23" s="72"/>
      <c r="U23" s="73"/>
      <c r="V23" s="73"/>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72"/>
      <c r="CZ23" s="72"/>
      <c r="DA23" s="72"/>
      <c r="DB23" s="72"/>
      <c r="DC23" s="72"/>
      <c r="DD23" s="72"/>
      <c r="DE23" s="72"/>
      <c r="DF23" s="72"/>
      <c r="DG23" s="72"/>
      <c r="DH23" s="72"/>
      <c r="DI23" s="72"/>
      <c r="DJ23" s="72"/>
      <c r="DK23" s="72"/>
      <c r="DL23" s="72"/>
      <c r="DM23" s="72"/>
      <c r="DN23" s="72"/>
      <c r="DO23" s="72"/>
      <c r="DP23" s="72"/>
      <c r="DQ23" s="72"/>
      <c r="DR23" s="72"/>
      <c r="DS23" s="72"/>
      <c r="DT23" s="72"/>
      <c r="DU23" s="72"/>
      <c r="DV23" s="72"/>
      <c r="DW23" s="72"/>
      <c r="DX23" s="72"/>
      <c r="DY23" s="72"/>
      <c r="DZ23" s="72"/>
      <c r="EA23" s="72"/>
      <c r="EB23" s="72"/>
      <c r="EC23" s="72"/>
      <c r="ED23" s="72"/>
    </row>
    <row r="24" spans="1:134" s="3" customFormat="1" ht="21.6" thickBot="1">
      <c r="A24" s="19"/>
      <c r="B24" s="39" t="s">
        <v>30</v>
      </c>
      <c r="C24" s="40"/>
      <c r="D24" s="41">
        <v>0</v>
      </c>
      <c r="E24" s="93">
        <v>45342</v>
      </c>
      <c r="F24" s="94">
        <v>45345</v>
      </c>
      <c r="G24" s="25"/>
      <c r="H24" s="25">
        <f t="shared" ca="1" si="12"/>
        <v>4</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72"/>
      <c r="CZ24" s="72"/>
      <c r="DA24" s="72"/>
      <c r="DB24" s="72"/>
      <c r="DC24" s="72"/>
      <c r="DD24" s="72"/>
      <c r="DE24" s="72"/>
      <c r="DF24" s="72"/>
      <c r="DG24" s="72"/>
      <c r="DH24" s="72"/>
      <c r="DI24" s="72"/>
      <c r="DJ24" s="72"/>
      <c r="DK24" s="72"/>
      <c r="DL24" s="72"/>
      <c r="DM24" s="72"/>
      <c r="DN24" s="72"/>
      <c r="DO24" s="72"/>
      <c r="DP24" s="72"/>
      <c r="DQ24" s="72"/>
      <c r="DR24" s="72"/>
      <c r="DS24" s="72"/>
      <c r="DT24" s="72"/>
      <c r="DU24" s="72"/>
      <c r="DV24" s="72"/>
      <c r="DW24" s="72"/>
      <c r="DX24" s="72"/>
      <c r="DY24" s="72"/>
      <c r="DZ24" s="72"/>
      <c r="EA24" s="72"/>
      <c r="EB24" s="72"/>
      <c r="EC24" s="72"/>
      <c r="ED24" s="72"/>
    </row>
    <row r="25" spans="1:134" s="3" customFormat="1" ht="21.6" thickBot="1">
      <c r="A25" s="19"/>
      <c r="B25" s="39" t="s">
        <v>31</v>
      </c>
      <c r="C25" s="40"/>
      <c r="D25" s="41">
        <v>0</v>
      </c>
      <c r="E25" s="93">
        <v>45346</v>
      </c>
      <c r="F25" s="94">
        <v>45348</v>
      </c>
      <c r="G25" s="25"/>
      <c r="H25" s="25">
        <f t="shared" ca="1" si="12"/>
        <v>3</v>
      </c>
      <c r="I25" s="72"/>
      <c r="J25" s="72"/>
      <c r="K25" s="72"/>
      <c r="L25" s="72"/>
      <c r="M25" s="72"/>
      <c r="N25" s="72"/>
      <c r="O25" s="72"/>
      <c r="P25" s="72"/>
      <c r="Q25" s="72"/>
      <c r="R25" s="72"/>
      <c r="S25" s="72"/>
      <c r="T25" s="72"/>
      <c r="U25" s="72"/>
      <c r="V25" s="72"/>
      <c r="W25" s="72"/>
      <c r="X25" s="72"/>
      <c r="Y25" s="73"/>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row>
    <row r="26" spans="1:134" s="3" customFormat="1" ht="21.6" thickBot="1">
      <c r="A26" s="19"/>
      <c r="B26" s="39" t="s">
        <v>32</v>
      </c>
      <c r="C26" s="40"/>
      <c r="D26" s="41">
        <v>0</v>
      </c>
      <c r="E26" s="93">
        <v>45349</v>
      </c>
      <c r="F26" s="94">
        <v>45349</v>
      </c>
      <c r="G26" s="25"/>
      <c r="H26" s="25">
        <f t="shared" ca="1" si="12"/>
        <v>1</v>
      </c>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c r="CW26" s="72"/>
      <c r="CX26" s="72"/>
      <c r="CY26" s="72"/>
      <c r="CZ26" s="72"/>
      <c r="DA26" s="72"/>
      <c r="DB26" s="72"/>
      <c r="DC26" s="72"/>
      <c r="DD26" s="72"/>
      <c r="DE26" s="72"/>
      <c r="DF26" s="72"/>
      <c r="DG26" s="72"/>
      <c r="DH26" s="72"/>
      <c r="DI26" s="72"/>
      <c r="DJ26" s="72"/>
      <c r="DK26" s="72"/>
      <c r="DL26" s="72"/>
      <c r="DM26" s="72"/>
      <c r="DN26" s="72"/>
      <c r="DO26" s="72"/>
      <c r="DP26" s="72"/>
      <c r="DQ26" s="72"/>
      <c r="DR26" s="72"/>
      <c r="DS26" s="72"/>
      <c r="DT26" s="72"/>
      <c r="DU26" s="72"/>
      <c r="DV26" s="72"/>
      <c r="DW26" s="72"/>
      <c r="DX26" s="72"/>
      <c r="DY26" s="72"/>
      <c r="DZ26" s="72"/>
      <c r="EA26" s="72"/>
      <c r="EB26" s="72"/>
      <c r="EC26" s="72"/>
      <c r="ED26" s="72"/>
    </row>
    <row r="27" spans="1:134" s="3" customFormat="1" ht="21.6" thickBot="1">
      <c r="A27" s="19"/>
      <c r="B27" s="100" t="s">
        <v>33</v>
      </c>
      <c r="C27" s="101"/>
      <c r="D27" s="33"/>
      <c r="E27" s="102"/>
      <c r="F27" s="103"/>
      <c r="G27" s="25"/>
      <c r="H27" s="25" t="str">
        <f t="shared" ca="1" si="12"/>
        <v/>
      </c>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row>
    <row r="28" spans="1:134" s="3" customFormat="1" ht="21.6" thickBot="1">
      <c r="A28" s="19"/>
      <c r="B28" s="31" t="s">
        <v>23</v>
      </c>
      <c r="C28" s="32"/>
      <c r="D28" s="33">
        <v>0</v>
      </c>
      <c r="E28" s="91">
        <v>45341</v>
      </c>
      <c r="F28" s="92">
        <v>45341</v>
      </c>
      <c r="G28" s="25"/>
      <c r="H28" s="25">
        <f t="shared" ca="1" si="12"/>
        <v>1</v>
      </c>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row>
    <row r="29" spans="1:134" s="3" customFormat="1" ht="21.6" thickBot="1">
      <c r="A29" s="19"/>
      <c r="B29" s="31" t="s">
        <v>29</v>
      </c>
      <c r="C29" s="32"/>
      <c r="D29" s="33">
        <v>0</v>
      </c>
      <c r="E29" s="91">
        <v>45342</v>
      </c>
      <c r="F29" s="92">
        <v>45366</v>
      </c>
      <c r="G29" s="25"/>
      <c r="H29" s="25">
        <f t="shared" ca="1" si="12"/>
        <v>25</v>
      </c>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row>
    <row r="30" spans="1:134" s="3" customFormat="1" ht="21.6" thickBot="1">
      <c r="A30" s="19"/>
      <c r="B30" s="31" t="s">
        <v>30</v>
      </c>
      <c r="C30" s="32"/>
      <c r="D30" s="33">
        <v>0</v>
      </c>
      <c r="E30" s="91">
        <v>45369</v>
      </c>
      <c r="F30" s="92">
        <v>45376</v>
      </c>
      <c r="G30" s="25"/>
      <c r="H30" s="25">
        <f t="shared" ca="1" si="12"/>
        <v>8</v>
      </c>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c r="EA30" s="72"/>
      <c r="EB30" s="72"/>
      <c r="EC30" s="72"/>
      <c r="ED30" s="72"/>
    </row>
    <row r="31" spans="1:134" s="3" customFormat="1" ht="21.6" thickBot="1">
      <c r="A31" s="19"/>
      <c r="B31" s="31" t="s">
        <v>31</v>
      </c>
      <c r="C31" s="32"/>
      <c r="D31" s="33">
        <v>0</v>
      </c>
      <c r="E31" s="91">
        <v>45377</v>
      </c>
      <c r="F31" s="92">
        <v>45386</v>
      </c>
      <c r="G31" s="25"/>
      <c r="H31" s="25">
        <f t="shared" ca="1" si="12"/>
        <v>10</v>
      </c>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row>
    <row r="32" spans="1:134" s="3" customFormat="1" ht="21.6" thickBot="1">
      <c r="A32" s="19"/>
      <c r="B32" s="31" t="s">
        <v>32</v>
      </c>
      <c r="C32" s="32"/>
      <c r="D32" s="33">
        <v>0</v>
      </c>
      <c r="E32" s="91">
        <v>45387</v>
      </c>
      <c r="F32" s="92">
        <v>45387</v>
      </c>
      <c r="G32" s="25"/>
      <c r="H32" s="25">
        <f t="shared" ca="1" si="12"/>
        <v>1</v>
      </c>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row>
    <row r="33" spans="1:134" s="3" customFormat="1" ht="21.6" thickBot="1">
      <c r="A33" s="19"/>
      <c r="B33" s="50" t="s">
        <v>34</v>
      </c>
      <c r="C33" s="51"/>
      <c r="D33" s="52"/>
      <c r="E33" s="53"/>
      <c r="F33" s="54"/>
      <c r="G33" s="25"/>
      <c r="H33" s="25" t="str">
        <f t="shared" ca="1" si="12"/>
        <v/>
      </c>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row>
    <row r="34" spans="1:134" s="3" customFormat="1" ht="21.6" thickBot="1">
      <c r="A34" s="19"/>
      <c r="B34" s="55" t="s">
        <v>35</v>
      </c>
      <c r="C34" s="56"/>
      <c r="D34" s="57">
        <v>0</v>
      </c>
      <c r="E34" s="96">
        <v>45378</v>
      </c>
      <c r="F34" s="97">
        <v>45379</v>
      </c>
      <c r="G34" s="25"/>
      <c r="H34" s="25">
        <f t="shared" ca="1" si="12"/>
        <v>2</v>
      </c>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row>
    <row r="35" spans="1:134" s="3" customFormat="1" ht="21.6" thickBot="1">
      <c r="A35" s="19"/>
      <c r="B35" s="55" t="s">
        <v>36</v>
      </c>
      <c r="C35" s="56"/>
      <c r="D35" s="57">
        <v>0</v>
      </c>
      <c r="E35" s="96">
        <v>45380</v>
      </c>
      <c r="F35" s="97">
        <v>45381</v>
      </c>
      <c r="G35" s="25"/>
      <c r="H35" s="25">
        <f t="shared" ca="1" si="12"/>
        <v>2</v>
      </c>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row>
    <row r="36" spans="1:134" s="3" customFormat="1" ht="21.6" thickBot="1">
      <c r="A36" s="19"/>
      <c r="B36" s="55" t="s">
        <v>37</v>
      </c>
      <c r="C36" s="56"/>
      <c r="D36" s="57">
        <v>0</v>
      </c>
      <c r="E36" s="96">
        <v>45390</v>
      </c>
      <c r="F36" s="97">
        <v>45390</v>
      </c>
      <c r="G36" s="25"/>
      <c r="H36" s="25">
        <f t="shared" ca="1" si="12"/>
        <v>1</v>
      </c>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row>
    <row r="37" spans="1:134" s="3" customFormat="1" ht="21.6" thickBot="1">
      <c r="A37" s="19"/>
      <c r="B37" s="55" t="s">
        <v>38</v>
      </c>
      <c r="C37" s="56"/>
      <c r="D37" s="57">
        <v>0</v>
      </c>
      <c r="E37" s="96">
        <v>45391</v>
      </c>
      <c r="F37" s="97">
        <v>45394</v>
      </c>
      <c r="G37" s="25"/>
      <c r="H37" s="25">
        <f t="shared" ca="1" si="12"/>
        <v>4</v>
      </c>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row>
    <row r="38" spans="1:134" s="3" customFormat="1" ht="21.6" thickBot="1">
      <c r="A38" s="19"/>
      <c r="B38" s="55" t="s">
        <v>39</v>
      </c>
      <c r="C38" s="56"/>
      <c r="D38" s="57">
        <v>0</v>
      </c>
      <c r="E38" s="96">
        <v>45394</v>
      </c>
      <c r="F38" s="97">
        <v>45400</v>
      </c>
      <c r="G38" s="25"/>
      <c r="H38" s="25">
        <f t="shared" ca="1" si="12"/>
        <v>7</v>
      </c>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row>
    <row r="39" spans="1:134" s="3" customFormat="1" ht="21.6" thickBot="1">
      <c r="A39" s="19"/>
      <c r="B39" s="58"/>
      <c r="C39" s="59"/>
      <c r="D39" s="60"/>
      <c r="E39" s="61"/>
      <c r="F39" s="62"/>
      <c r="G39" s="25"/>
      <c r="H39" s="25" t="str">
        <f t="shared" ca="1" si="12"/>
        <v/>
      </c>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row>
    <row r="40" spans="1:134" s="3" customFormat="1" ht="21.6" thickBot="1">
      <c r="A40" s="19"/>
      <c r="B40" s="63"/>
      <c r="C40" s="64"/>
      <c r="D40" s="65"/>
      <c r="E40" s="98"/>
      <c r="F40" s="99"/>
      <c r="G40" s="25"/>
      <c r="H40" s="25" t="str">
        <f t="shared" ca="1" si="12"/>
        <v/>
      </c>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row>
    <row r="41" spans="1:134" s="3" customFormat="1" ht="21.6" thickBot="1">
      <c r="A41" s="19"/>
      <c r="B41" s="63"/>
      <c r="C41" s="64"/>
      <c r="D41" s="65"/>
      <c r="E41" s="98"/>
      <c r="F41" s="99"/>
      <c r="G41" s="25"/>
      <c r="H41" s="25" t="str">
        <f t="shared" ca="1" si="12"/>
        <v/>
      </c>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row>
    <row r="42" spans="1:134" s="3" customFormat="1" ht="21.6" thickBot="1">
      <c r="A42" s="19"/>
      <c r="B42" s="63"/>
      <c r="C42" s="64"/>
      <c r="D42" s="65"/>
      <c r="E42" s="98"/>
      <c r="F42" s="99"/>
      <c r="G42" s="25"/>
      <c r="H42" s="25" t="str">
        <f t="shared" ca="1" si="12"/>
        <v/>
      </c>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row>
    <row r="43" spans="1:134" s="3" customFormat="1" ht="21.6" thickBot="1">
      <c r="A43" s="19"/>
      <c r="B43" s="63"/>
      <c r="C43" s="64"/>
      <c r="D43" s="65"/>
      <c r="E43" s="98"/>
      <c r="F43" s="99"/>
      <c r="G43" s="25"/>
      <c r="H43" s="25" t="str">
        <f t="shared" ca="1" si="12"/>
        <v/>
      </c>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row>
    <row r="44" spans="1:134" s="3" customFormat="1" ht="21.6" thickBot="1">
      <c r="A44" s="19"/>
      <c r="B44" s="63"/>
      <c r="C44" s="64"/>
      <c r="D44" s="65"/>
      <c r="E44" s="98"/>
      <c r="F44" s="99"/>
      <c r="G44" s="25"/>
      <c r="H44" s="25" t="str">
        <f t="shared" ca="1" si="12"/>
        <v/>
      </c>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c r="CO44" s="72"/>
      <c r="CP44" s="72"/>
      <c r="CQ44" s="72"/>
      <c r="CR44" s="72"/>
      <c r="CS44" s="72"/>
      <c r="CT44" s="72"/>
      <c r="CU44" s="72"/>
      <c r="CV44" s="72"/>
      <c r="CW44" s="72"/>
      <c r="CX44" s="72"/>
      <c r="CY44" s="72"/>
      <c r="CZ44" s="72"/>
      <c r="DA44" s="72"/>
      <c r="DB44" s="72"/>
      <c r="DC44" s="72"/>
      <c r="DD44" s="72"/>
      <c r="DE44" s="72"/>
      <c r="DF44" s="72"/>
      <c r="DG44" s="72"/>
      <c r="DH44" s="72"/>
      <c r="DI44" s="72"/>
      <c r="DJ44" s="72"/>
      <c r="DK44" s="72"/>
      <c r="DL44" s="72"/>
      <c r="DM44" s="72"/>
      <c r="DN44" s="72"/>
      <c r="DO44" s="72"/>
      <c r="DP44" s="72"/>
      <c r="DQ44" s="72"/>
      <c r="DR44" s="72"/>
      <c r="DS44" s="72"/>
      <c r="DT44" s="72"/>
      <c r="DU44" s="72"/>
      <c r="DV44" s="72"/>
      <c r="DW44" s="72"/>
      <c r="DX44" s="72"/>
      <c r="DY44" s="72"/>
      <c r="DZ44" s="72"/>
      <c r="EA44" s="72"/>
      <c r="EB44" s="72"/>
      <c r="EC44" s="72"/>
      <c r="ED44" s="72"/>
    </row>
    <row r="45" spans="1:134" s="3" customFormat="1" ht="21.6" thickBot="1">
      <c r="A45" s="19"/>
      <c r="B45" s="20"/>
      <c r="C45" s="21"/>
      <c r="D45" s="22"/>
      <c r="E45" s="23"/>
      <c r="F45" s="24"/>
      <c r="G45" s="25"/>
      <c r="H45" s="25" t="str">
        <f t="shared" ca="1" si="12"/>
        <v/>
      </c>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row>
    <row r="46" spans="1:134" s="3" customFormat="1" ht="21.6" thickBot="1">
      <c r="A46" s="19"/>
      <c r="B46" s="20"/>
      <c r="C46" s="21"/>
      <c r="D46" s="22"/>
      <c r="E46" s="23"/>
      <c r="F46" s="24"/>
      <c r="G46" s="25"/>
      <c r="H46" s="25" t="str">
        <f t="shared" ca="1" si="12"/>
        <v/>
      </c>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c r="CW46" s="72"/>
      <c r="CX46" s="72"/>
      <c r="CY46" s="72"/>
      <c r="CZ46" s="72"/>
      <c r="DA46" s="72"/>
      <c r="DB46" s="72"/>
      <c r="DC46" s="72"/>
      <c r="DD46" s="72"/>
      <c r="DE46" s="72"/>
      <c r="DF46" s="72"/>
      <c r="DG46" s="72"/>
      <c r="DH46" s="72"/>
      <c r="DI46" s="72"/>
      <c r="DJ46" s="72"/>
      <c r="DK46" s="72"/>
      <c r="DL46" s="72"/>
      <c r="DM46" s="72"/>
      <c r="DN46" s="72"/>
      <c r="DO46" s="72"/>
      <c r="DP46" s="72"/>
      <c r="DQ46" s="72"/>
      <c r="DR46" s="72"/>
      <c r="DS46" s="72"/>
      <c r="DT46" s="72"/>
      <c r="DU46" s="72"/>
      <c r="DV46" s="72"/>
      <c r="DW46" s="72"/>
      <c r="DX46" s="72"/>
      <c r="DY46" s="72"/>
      <c r="DZ46" s="72"/>
      <c r="EA46" s="72"/>
      <c r="EB46" s="72"/>
      <c r="EC46" s="72"/>
      <c r="ED46" s="72"/>
    </row>
    <row r="47" spans="1:134" s="3" customFormat="1" ht="21.6" thickBot="1">
      <c r="A47" s="19"/>
      <c r="B47" s="20"/>
      <c r="C47" s="21"/>
      <c r="D47" s="22"/>
      <c r="E47" s="23"/>
      <c r="F47" s="24"/>
      <c r="G47" s="25"/>
      <c r="H47" s="25" t="str">
        <f t="shared" ca="1" si="12"/>
        <v/>
      </c>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c r="DE47" s="72"/>
      <c r="DF47" s="72"/>
      <c r="DG47" s="72"/>
      <c r="DH47" s="72"/>
      <c r="DI47" s="72"/>
      <c r="DJ47" s="72"/>
      <c r="DK47" s="72"/>
      <c r="DL47" s="72"/>
      <c r="DM47" s="72"/>
      <c r="DN47" s="72"/>
      <c r="DO47" s="72"/>
      <c r="DP47" s="72"/>
      <c r="DQ47" s="72"/>
      <c r="DR47" s="72"/>
      <c r="DS47" s="72"/>
      <c r="DT47" s="72"/>
      <c r="DU47" s="72"/>
      <c r="DV47" s="72"/>
      <c r="DW47" s="72"/>
      <c r="DX47" s="72"/>
      <c r="DY47" s="72"/>
      <c r="DZ47" s="72"/>
      <c r="EA47" s="72"/>
      <c r="EB47" s="72"/>
      <c r="EC47" s="72"/>
      <c r="ED47" s="72"/>
    </row>
    <row r="48" spans="1:134" s="3" customFormat="1" ht="21.6" thickBot="1">
      <c r="A48" s="19"/>
      <c r="B48" s="66" t="s">
        <v>40</v>
      </c>
      <c r="C48" s="67"/>
      <c r="D48" s="68"/>
      <c r="E48" s="69"/>
      <c r="F48" s="70"/>
      <c r="G48" s="71"/>
      <c r="H48" s="71" t="str">
        <f t="shared" ca="1" si="12"/>
        <v/>
      </c>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row>
    <row r="49" spans="1:7">
      <c r="A49" s="6"/>
      <c r="G49" s="6"/>
    </row>
    <row r="50" spans="1:7">
      <c r="B50" s="17"/>
      <c r="C50" s="17"/>
      <c r="F50" s="85"/>
    </row>
    <row r="51" spans="1:7">
      <c r="B51" s="89"/>
      <c r="C51" s="18"/>
    </row>
    <row r="52" spans="1:7">
      <c r="B52" s="88"/>
    </row>
  </sheetData>
  <mergeCells count="21">
    <mergeCell ref="BM4:BS4"/>
    <mergeCell ref="E2:F2"/>
    <mergeCell ref="I4:O4"/>
    <mergeCell ref="P4:V4"/>
    <mergeCell ref="W4:AC4"/>
    <mergeCell ref="AD4:AJ4"/>
    <mergeCell ref="E3:F3"/>
    <mergeCell ref="J1:AA1"/>
    <mergeCell ref="AK4:AQ4"/>
    <mergeCell ref="AR4:AX4"/>
    <mergeCell ref="AY4:BE4"/>
    <mergeCell ref="BF4:BL4"/>
    <mergeCell ref="DC4:DI4"/>
    <mergeCell ref="DJ4:DP4"/>
    <mergeCell ref="DQ4:DW4"/>
    <mergeCell ref="DX4:ED4"/>
    <mergeCell ref="BT4:BZ4"/>
    <mergeCell ref="CA4:CG4"/>
    <mergeCell ref="CH4:CN4"/>
    <mergeCell ref="CO4:CU4"/>
    <mergeCell ref="CV4:DB4"/>
  </mergeCells>
  <conditionalFormatting sqref="D7:D48">
    <cfRule type="dataBar" priority="4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S48">
    <cfRule type="expression" dxfId="29" priority="57">
      <formula>AND(today&gt;=I$5,today&lt;I$5+1)</formula>
    </cfRule>
  </conditionalFormatting>
  <conditionalFormatting sqref="I7:BS48">
    <cfRule type="expression" dxfId="28" priority="55">
      <formula>AND(task_start&lt;=I$5,ROUNDDOWN((task_end-task_start+1)*task_progress,0)+task_start-1&gt;=I$5)</formula>
    </cfRule>
    <cfRule type="expression" dxfId="27" priority="56" stopIfTrue="1">
      <formula>AND(task_end&gt;=I$5,task_start&lt;I$5+1)</formula>
    </cfRule>
  </conditionalFormatting>
  <conditionalFormatting sqref="BT5:BZ48">
    <cfRule type="expression" dxfId="26" priority="27">
      <formula>AND(today&gt;=BT$5,today&lt;BT$5+1)</formula>
    </cfRule>
  </conditionalFormatting>
  <conditionalFormatting sqref="BT7:BZ48">
    <cfRule type="expression" dxfId="25" priority="25">
      <formula>AND(task_start&lt;=BT$5,ROUNDDOWN((task_end-task_start+1)*task_progress,0)+task_start-1&gt;=BT$5)</formula>
    </cfRule>
    <cfRule type="expression" dxfId="24" priority="26" stopIfTrue="1">
      <formula>AND(task_end&gt;=BT$5,task_start&lt;BT$5+1)</formula>
    </cfRule>
  </conditionalFormatting>
  <conditionalFormatting sqref="CA5:CG48">
    <cfRule type="expression" dxfId="23" priority="24">
      <formula>AND(today&gt;=CA$5,today&lt;CA$5+1)</formula>
    </cfRule>
  </conditionalFormatting>
  <conditionalFormatting sqref="CA7:CG48">
    <cfRule type="expression" dxfId="22" priority="22">
      <formula>AND(task_start&lt;=CA$5,ROUNDDOWN((task_end-task_start+1)*task_progress,0)+task_start-1&gt;=CA$5)</formula>
    </cfRule>
    <cfRule type="expression" dxfId="21" priority="23" stopIfTrue="1">
      <formula>AND(task_end&gt;=CA$5,task_start&lt;CA$5+1)</formula>
    </cfRule>
  </conditionalFormatting>
  <conditionalFormatting sqref="CH5:CN48">
    <cfRule type="expression" dxfId="20" priority="21">
      <formula>AND(today&gt;=CH$5,today&lt;CH$5+1)</formula>
    </cfRule>
  </conditionalFormatting>
  <conditionalFormatting sqref="CH7:CN48">
    <cfRule type="expression" dxfId="19" priority="19">
      <formula>AND(task_start&lt;=CH$5,ROUNDDOWN((task_end-task_start+1)*task_progress,0)+task_start-1&gt;=CH$5)</formula>
    </cfRule>
    <cfRule type="expression" dxfId="18" priority="20" stopIfTrue="1">
      <formula>AND(task_end&gt;=CH$5,task_start&lt;CH$5+1)</formula>
    </cfRule>
  </conditionalFormatting>
  <conditionalFormatting sqref="CO5:CU48">
    <cfRule type="expression" dxfId="17" priority="18">
      <formula>AND(today&gt;=CO$5,today&lt;CO$5+1)</formula>
    </cfRule>
  </conditionalFormatting>
  <conditionalFormatting sqref="CO7:CU48">
    <cfRule type="expression" dxfId="16" priority="16">
      <formula>AND(task_start&lt;=CO$5,ROUNDDOWN((task_end-task_start+1)*task_progress,0)+task_start-1&gt;=CO$5)</formula>
    </cfRule>
    <cfRule type="expression" dxfId="15" priority="17" stopIfTrue="1">
      <formula>AND(task_end&gt;=CO$5,task_start&lt;CO$5+1)</formula>
    </cfRule>
  </conditionalFormatting>
  <conditionalFormatting sqref="CV5:DB48">
    <cfRule type="expression" dxfId="14" priority="15">
      <formula>AND(today&gt;=CV$5,today&lt;CV$5+1)</formula>
    </cfRule>
  </conditionalFormatting>
  <conditionalFormatting sqref="CV7:DB48">
    <cfRule type="expression" dxfId="13" priority="13">
      <formula>AND(task_start&lt;=CV$5,ROUNDDOWN((task_end-task_start+1)*task_progress,0)+task_start-1&gt;=CV$5)</formula>
    </cfRule>
    <cfRule type="expression" dxfId="12" priority="14" stopIfTrue="1">
      <formula>AND(task_end&gt;=CV$5,task_start&lt;CV$5+1)</formula>
    </cfRule>
  </conditionalFormatting>
  <conditionalFormatting sqref="DC5:DI48">
    <cfRule type="expression" dxfId="11" priority="12">
      <formula>AND(today&gt;=DC$5,today&lt;DC$5+1)</formula>
    </cfRule>
  </conditionalFormatting>
  <conditionalFormatting sqref="DC7:DI48">
    <cfRule type="expression" dxfId="10" priority="10">
      <formula>AND(task_start&lt;=DC$5,ROUNDDOWN((task_end-task_start+1)*task_progress,0)+task_start-1&gt;=DC$5)</formula>
    </cfRule>
    <cfRule type="expression" dxfId="9" priority="11" stopIfTrue="1">
      <formula>AND(task_end&gt;=DC$5,task_start&lt;DC$5+1)</formula>
    </cfRule>
  </conditionalFormatting>
  <conditionalFormatting sqref="DJ5:DP48">
    <cfRule type="expression" dxfId="8" priority="9">
      <formula>AND(today&gt;=DJ$5,today&lt;DJ$5+1)</formula>
    </cfRule>
  </conditionalFormatting>
  <conditionalFormatting sqref="DJ7:DP48">
    <cfRule type="expression" dxfId="7" priority="7">
      <formula>AND(task_start&lt;=DJ$5,ROUNDDOWN((task_end-task_start+1)*task_progress,0)+task_start-1&gt;=DJ$5)</formula>
    </cfRule>
    <cfRule type="expression" dxfId="6" priority="8" stopIfTrue="1">
      <formula>AND(task_end&gt;=DJ$5,task_start&lt;DJ$5+1)</formula>
    </cfRule>
  </conditionalFormatting>
  <conditionalFormatting sqref="DQ5:DW48">
    <cfRule type="expression" dxfId="5" priority="6">
      <formula>AND(today&gt;=DQ$5,today&lt;DQ$5+1)</formula>
    </cfRule>
  </conditionalFormatting>
  <conditionalFormatting sqref="DQ7:DW48">
    <cfRule type="expression" dxfId="4" priority="4">
      <formula>AND(task_start&lt;=DQ$5,ROUNDDOWN((task_end-task_start+1)*task_progress,0)+task_start-1&gt;=DQ$5)</formula>
    </cfRule>
    <cfRule type="expression" dxfId="3" priority="5" stopIfTrue="1">
      <formula>AND(task_end&gt;=DQ$5,task_start&lt;DQ$5+1)</formula>
    </cfRule>
  </conditionalFormatting>
  <conditionalFormatting sqref="DX5:ED48">
    <cfRule type="expression" dxfId="2" priority="3">
      <formula>AND(today&gt;=DX$5,today&lt;DX$5+1)</formula>
    </cfRule>
  </conditionalFormatting>
  <conditionalFormatting sqref="DX7:ED48">
    <cfRule type="expression" dxfId="1" priority="1">
      <formula>AND(task_start&lt;=DX$5,ROUNDDOWN((task_end-task_start+1)*task_progress,0)+task_start-1&gt;=DX$5)</formula>
    </cfRule>
    <cfRule type="expression" dxfId="0" priority="2" stopIfTrue="1">
      <formula>AND(task_end&gt;=DX$5,task_start&lt;DX$5+1)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35" right="0.35" top="0.35" bottom="0.5" header="0.3" footer="0.3"/>
  <pageSetup scale="62"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3.9"/>
  <cols>
    <col min="1" max="1" width="2.85546875" style="2" customWidth="1"/>
    <col min="2" max="2" width="87.140625" style="75" customWidth="1"/>
    <col min="3" max="16384" width="9.140625" style="2"/>
  </cols>
  <sheetData>
    <row r="1" spans="2:3" ht="46.5" customHeight="1"/>
    <row r="2" spans="2:3" s="77" customFormat="1" ht="15.6">
      <c r="B2" s="76" t="s">
        <v>41</v>
      </c>
      <c r="C2" s="76"/>
    </row>
    <row r="3" spans="2:3" s="79" customFormat="1" ht="13.5" customHeight="1">
      <c r="B3" s="78" t="s">
        <v>42</v>
      </c>
      <c r="C3" s="78"/>
    </row>
    <row r="4" spans="2:3">
      <c r="B4" s="87" t="s">
        <v>43</v>
      </c>
    </row>
    <row r="6" spans="2:3" s="80" customFormat="1" ht="25.9">
      <c r="B6" s="82" t="s">
        <v>44</v>
      </c>
    </row>
    <row r="7" spans="2:3" ht="57.6">
      <c r="B7" s="83" t="s">
        <v>45</v>
      </c>
    </row>
    <row r="8" spans="2:3" ht="14.45">
      <c r="B8" s="81"/>
    </row>
    <row r="9" spans="2:3" s="80" customFormat="1" ht="25.9">
      <c r="B9" s="82" t="s">
        <v>46</v>
      </c>
    </row>
    <row r="10" spans="2:3" ht="57.6">
      <c r="B10" s="83" t="s">
        <v>47</v>
      </c>
    </row>
    <row r="11" spans="2:3" ht="14.45">
      <c r="B11" s="84" t="s">
        <v>48</v>
      </c>
    </row>
    <row r="12" spans="2:3" ht="14.45">
      <c r="B12" s="81"/>
    </row>
    <row r="13" spans="2:3" ht="14.45">
      <c r="B13" s="90" t="str">
        <f>HYPERLINK("https://vertex42.link/HowToMakeAGanttChart","► Watch How This Gantt Chart Was Created")</f>
        <v>► Watch How This Gantt Chart Was Created</v>
      </c>
    </row>
    <row r="14" spans="2:3" ht="14.45">
      <c r="B14" s="81"/>
    </row>
    <row r="15" spans="2:3" s="80" customFormat="1" ht="25.9">
      <c r="B15" s="82" t="s">
        <v>49</v>
      </c>
    </row>
    <row r="16" spans="2:3" ht="28.9">
      <c r="B16" s="83" t="s">
        <v>50</v>
      </c>
    </row>
    <row r="17" spans="2:2" ht="14.45">
      <c r="B17" s="84" t="s">
        <v>51</v>
      </c>
    </row>
    <row r="18" spans="2:2" ht="14.45">
      <c r="B18" s="81"/>
    </row>
    <row r="19" spans="2:2" s="80" customFormat="1" ht="25.9">
      <c r="B19" s="82" t="s">
        <v>52</v>
      </c>
    </row>
    <row r="20" spans="2:2" ht="57.6">
      <c r="B20" s="83" t="s">
        <v>53</v>
      </c>
    </row>
    <row r="21" spans="2:2" ht="14.45">
      <c r="B21" s="81"/>
    </row>
    <row r="22" spans="2:2" ht="72">
      <c r="B22" s="83" t="s">
        <v>54</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11F958EFF73B4E920C8082752A490B" ma:contentTypeVersion="6" ma:contentTypeDescription="Create a new document." ma:contentTypeScope="" ma:versionID="85aa576cf9c17ca2e0f1a30e6e67bbb3">
  <xsd:schema xmlns:xsd="http://www.w3.org/2001/XMLSchema" xmlns:xs="http://www.w3.org/2001/XMLSchema" xmlns:p="http://schemas.microsoft.com/office/2006/metadata/properties" xmlns:ns2="b81456b5-7c0f-4d1c-b385-3efbfc765b90" xmlns:ns3="de686bc5-c6fe-44eb-97ca-94c2bc412ba8" targetNamespace="http://schemas.microsoft.com/office/2006/metadata/properties" ma:root="true" ma:fieldsID="bf1bc94718bc413db49a4eb80dc07342" ns2:_="" ns3:_="">
    <xsd:import namespace="b81456b5-7c0f-4d1c-b385-3efbfc765b90"/>
    <xsd:import namespace="de686bc5-c6fe-44eb-97ca-94c2bc412b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456b5-7c0f-4d1c-b385-3efbfc765b9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686bc5-c6fe-44eb-97ca-94c2bc412ba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81456b5-7c0f-4d1c-b385-3efbfc765b90">
      <UserInfo>
        <DisplayName>Leonard Dea</DisplayName>
        <AccountId>12</AccountId>
        <AccountType/>
      </UserInfo>
      <UserInfo>
        <DisplayName>George Chapman</DisplayName>
        <AccountId>17</AccountId>
        <AccountType/>
      </UserInfo>
      <UserInfo>
        <DisplayName>Ryan King</DisplayName>
        <AccountId>18</AccountId>
        <AccountType/>
      </UserInfo>
    </SharedWithUsers>
  </documentManagement>
</p:properties>
</file>

<file path=customXml/itemProps1.xml><?xml version="1.0" encoding="utf-8"?>
<ds:datastoreItem xmlns:ds="http://schemas.openxmlformats.org/officeDocument/2006/customXml" ds:itemID="{D4170952-B01F-4A24-B2EB-671EC546F88A}"/>
</file>

<file path=customXml/itemProps2.xml><?xml version="1.0" encoding="utf-8"?>
<ds:datastoreItem xmlns:ds="http://schemas.openxmlformats.org/officeDocument/2006/customXml" ds:itemID="{7BD40D7B-7E95-4EAA-BA51-0240CAC0F886}"/>
</file>

<file path=customXml/itemProps3.xml><?xml version="1.0" encoding="utf-8"?>
<ds:datastoreItem xmlns:ds="http://schemas.openxmlformats.org/officeDocument/2006/customXml" ds:itemID="{2EA276C7-047D-4802-84F6-FE7D4CFC4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George Chapman</cp:lastModifiedBy>
  <cp:revision/>
  <dcterms:created xsi:type="dcterms:W3CDTF">2017-01-09T18:01:51Z</dcterms:created>
  <dcterms:modified xsi:type="dcterms:W3CDTF">2024-01-22T14:19:48Z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0x0101001511F958EFF73B4E920C8082752A490B</vt:lpwstr>
  </property>
</Properties>
</file>